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Матрица продуктов" sheetId="1" r:id="rId4"/>
    <sheet state="visible" name="Матрица поставщиков" sheetId="2" r:id="rId5"/>
    <sheet state="visible" name="Сводная" sheetId="3" r:id="rId6"/>
    <sheet state="visible" name="Доставка" sheetId="4" r:id="rId7"/>
    <sheet state="visible" name="Сырный соус" sheetId="5" r:id="rId8"/>
    <sheet state="visible" name="Кетчуп" sheetId="6" r:id="rId9"/>
    <sheet state="visible" name="Лимонад" sheetId="7" r:id="rId10"/>
    <sheet state="visible" name="Айран" sheetId="8" r:id="rId11"/>
    <sheet state="visible" name="Айран коктейль" sheetId="9" r:id="rId12"/>
    <sheet state="visible" name="Чай чёрный" sheetId="10" r:id="rId13"/>
    <sheet state="visible" name="Манная халва с шоко" sheetId="11" r:id="rId14"/>
    <sheet state="visible" name="Кофе по-турецки" sheetId="12" r:id="rId15"/>
    <sheet state="visible" name="Салеп" sheetId="13" r:id="rId16"/>
    <sheet state="visible" name="Чечевичный суп" sheetId="14" r:id="rId17"/>
    <sheet state="visible" name="КОМБО ЛАЙТ - 1" sheetId="15" r:id="rId18"/>
    <sheet state="visible" name="КОМБО ОБЕД - 1" sheetId="16" r:id="rId19"/>
    <sheet state="hidden" name="КОМБО ЛАЙТ - 2" sheetId="17" r:id="rId20"/>
    <sheet state="hidden" name="КОМБО ОБЕД - 2" sheetId="18" r:id="rId21"/>
    <sheet state="visible" name="Искенди кебаб" sheetId="19" r:id="rId22"/>
    <sheet state="visible" name="Дюрюм mini" sheetId="20" r:id="rId23"/>
    <sheet state="visible" name="Дюрюм" sheetId="21" r:id="rId24"/>
    <sheet state="visible" name="Комбо-1_1" sheetId="22" r:id="rId25"/>
    <sheet state="visible" name="Дюрюм Нарсоган" sheetId="23" r:id="rId26"/>
    <sheet state="visible" name="Балык Дюрюм" sheetId="24" r:id="rId27"/>
    <sheet state="visible" name="Суджук сендвич" sheetId="25" r:id="rId28"/>
    <sheet state="visible" name="Кебаб дюрюм" sheetId="26" r:id="rId29"/>
    <sheet state="visible" name="Искандер дюрюм + сыр" sheetId="27" r:id="rId30"/>
    <sheet state="visible" name="Искандер дюрюм - mini (не согла" sheetId="28" r:id="rId31"/>
    <sheet state="hidden" name="Кофе по-турецки с кардамоном" sheetId="29" r:id="rId32"/>
    <sheet state="hidden" name="Кофе по-турецки с фундуком" sheetId="30" r:id="rId33"/>
    <sheet state="visible" name="Искандер дюрюм Zurna" sheetId="31" r:id="rId34"/>
    <sheet state="visible" name="Комбо-1_2" sheetId="32" r:id="rId35"/>
    <sheet state="visible" name="Фри на продажу" sheetId="33" r:id="rId36"/>
    <sheet state="visible" name="Перец Якан" sheetId="34" r:id="rId37"/>
    <sheet state="visible" name="Искандер соус" sheetId="35" r:id="rId38"/>
    <sheet state="visible" name="Манная халва" sheetId="36" r:id="rId39"/>
    <sheet state="visible" name="Сырный Дип" sheetId="37" r:id="rId40"/>
    <sheet state="visible" name="Шоколад Искенди" sheetId="38" r:id="rId41"/>
    <sheet state="visible" name="пф Топинг шоколадный" sheetId="39" r:id="rId42"/>
    <sheet state="visible" name="пф Манная халва" sheetId="40" r:id="rId43"/>
    <sheet state="visible" name="пф Чечевичный суп" sheetId="41" r:id="rId44"/>
    <sheet state="visible" name="пф специи для супа" sheetId="42" r:id="rId45"/>
    <sheet state="visible" name="пф Лимонная заправка" sheetId="43" r:id="rId46"/>
    <sheet state="visible" name="пф Лаваш Искенди" sheetId="44" r:id="rId47"/>
    <sheet state="visible" name="пф тахини" sheetId="45" r:id="rId48"/>
    <sheet state="visible" name="пф курица маринованная" sheetId="46" r:id="rId49"/>
    <sheet state="visible" name="пф специи для курицы" sheetId="47" r:id="rId50"/>
    <sheet state="visible" name="пф специи балык" sheetId="48" r:id="rId51"/>
    <sheet state="visible" name="пф Соус Кебаб" sheetId="49" r:id="rId52"/>
    <sheet state="visible" name="пф Лук маринованный" sheetId="50" r:id="rId53"/>
    <sheet state="visible" name="пф Лук - сумах" sheetId="51" r:id="rId54"/>
    <sheet state="visible" name="пф Фарш Primebeef Классик марин" sheetId="52" r:id="rId55"/>
    <sheet state="visible" name="пф Фарш Primebeef Классик жарен" sheetId="53" r:id="rId56"/>
    <sheet state="visible" name="пф Фри" sheetId="54" r:id="rId57"/>
    <sheet state="visible" name="пф Фри в панировке" sheetId="55" r:id="rId58"/>
    <sheet state="visible" name="пф искандер соус" sheetId="56" r:id="rId59"/>
    <sheet state="visible" name="пф говядина маринованная" sheetId="57" r:id="rId60"/>
    <sheet state="visible" name="пф курица готовая" sheetId="58" r:id="rId61"/>
    <sheet state="visible" name="пф говядина готовая" sheetId="59" r:id="rId62"/>
    <sheet state="visible" name="пф Сырный дип" sheetId="60" r:id="rId63"/>
    <sheet state="visible" name="пф соус для суджука" sheetId="61" r:id="rId64"/>
    <sheet state="visible" name="пф обмазка балыка" sheetId="62" r:id="rId65"/>
    <sheet state="visible" name="пф айсберг" sheetId="63" r:id="rId66"/>
    <sheet state="visible" name="пф скумбрия" sheetId="64" r:id="rId67"/>
    <sheet state="visible" name="пф перец сладкий" sheetId="65" r:id="rId68"/>
    <sheet state="visible" name="пф соус Нар" sheetId="66" r:id="rId69"/>
    <sheet state="visible" name="пф искандер соус по-Хатайски" sheetId="67" r:id="rId70"/>
  </sheets>
  <definedNames>
    <definedName name="ИменованныйДиапазон1">'Матрица поставщиков'!$A$2:$A$100</definedName>
    <definedName hidden="1" localSheetId="0" name="_xlnm._FilterDatabase">'Матрица продуктов'!$A$1:$D$56</definedName>
    <definedName hidden="1" localSheetId="1" name="_xlnm._FilterDatabase">'Матрица поставщиков'!$A$1:$E$62</definedName>
    <definedName hidden="1" localSheetId="13" name="_xlnm._FilterDatabase">'Чечевичный суп'!$A$3:$H$5</definedName>
    <definedName hidden="1" localSheetId="18" name="_xlnm._FilterDatabase">'Искенди кебаб'!$A$3:$H$7</definedName>
    <definedName hidden="1" localSheetId="19" name="_xlnm._FilterDatabase">'Дюрюм mini'!$A$3:$H$10</definedName>
    <definedName hidden="1" localSheetId="20" name="_xlnm._FilterDatabase">'Дюрюм'!$A$3:$H$10</definedName>
    <definedName hidden="1" localSheetId="22" name="_xlnm._FilterDatabase">'Дюрюм Нарсоган'!$A$3:$H$11</definedName>
    <definedName hidden="1" localSheetId="23" name="_xlnm._FilterDatabase">'Балык Дюрюм'!$A$3:$H$14</definedName>
    <definedName hidden="1" localSheetId="24" name="_xlnm._FilterDatabase">'Суджук сендвич'!$A$3:$H$8</definedName>
    <definedName hidden="1" localSheetId="25" name="_xlnm._FilterDatabase">'Кебаб дюрюм'!$A$3:$H$11</definedName>
    <definedName hidden="1" localSheetId="26" name="_xlnm._FilterDatabase">'Искандер дюрюм + сыр'!$A$3:$H$11</definedName>
    <definedName hidden="1" localSheetId="27" name="_xlnm._FilterDatabase">'Искандер дюрюм - mini (не согла'!$A$3:$H$11</definedName>
    <definedName hidden="1" localSheetId="30" name="_xlnm._FilterDatabase">'Искандер дюрюм Zurna'!$A$3:$H$10</definedName>
    <definedName hidden="1" localSheetId="34" name="_xlnm._FilterDatabase">'Искандер соус'!$A$3:$H$10</definedName>
    <definedName hidden="1" localSheetId="38" name="_xlnm._FilterDatabase">'пф Топинг шоколадный'!$A$3:$H$10</definedName>
    <definedName hidden="1" localSheetId="39" name="_xlnm._FilterDatabase">'пф Манная халва'!$A$3:$H$10</definedName>
    <definedName hidden="1" localSheetId="40" name="_xlnm._FilterDatabase">'пф Чечевичный суп'!$A$3:$H$12</definedName>
    <definedName hidden="1" localSheetId="41" name="_xlnm._FilterDatabase">'пф специи для супа'!$A$3:$H$4</definedName>
    <definedName hidden="1" localSheetId="42" name="_xlnm._FilterDatabase">'пф Лимонная заправка'!$A$3:$H$5</definedName>
    <definedName hidden="1" localSheetId="43" name="_xlnm._FilterDatabase">'пф Лаваш Искенди'!$A$3:$H$5</definedName>
    <definedName hidden="1" localSheetId="44" name="_xlnm._FilterDatabase">'пф тахини'!$A$3:$H$6</definedName>
    <definedName hidden="1" localSheetId="45" name="_xlnm._FilterDatabase">'пф курица маринованная'!$A$3:$H$9</definedName>
    <definedName hidden="1" localSheetId="46" name="_xlnm._FilterDatabase">'пф специи для курицы'!$A$3:$H$8</definedName>
    <definedName hidden="1" localSheetId="47" name="_xlnm._FilterDatabase">'пф специи балык'!$A$3:$H$9</definedName>
    <definedName hidden="1" localSheetId="48" name="_xlnm._FilterDatabase">'пф Соус Кебаб'!$A$3:$H$12</definedName>
    <definedName hidden="1" localSheetId="49" name="_xlnm._FilterDatabase">'пф Лук маринованный'!$A$3:$H$9</definedName>
    <definedName hidden="1" localSheetId="50" name="_xlnm._FilterDatabase">'пф Лук - сумах'!$A$3:$H$8</definedName>
    <definedName hidden="1" localSheetId="51" name="_xlnm._FilterDatabase">'пф Фарш Primebeef Классик марин'!$A$3:$H$10</definedName>
    <definedName hidden="1" localSheetId="52" name="_xlnm._FilterDatabase">'пф Фарш Primebeef Классик жарен'!$A$3:$H$5</definedName>
    <definedName hidden="1" localSheetId="55" name="_xlnm._FilterDatabase">'пф искандер соус'!$A$3:$H$10</definedName>
    <definedName hidden="1" localSheetId="56" name="_xlnm._FilterDatabase">'пф говядина маринованная'!$A$3:$H$16</definedName>
    <definedName hidden="1" localSheetId="57" name="_xlnm._FilterDatabase">'пф курица готовая'!$A$3:$H$5</definedName>
    <definedName hidden="1" localSheetId="58" name="_xlnm._FilterDatabase">'пф говядина готовая'!$A$3:$H$5</definedName>
    <definedName hidden="1" localSheetId="66" name="_xlnm._FilterDatabase">'пф искандер соус по-Хатайски'!$A$3:$H$18</definedName>
  </definedNames>
  <calcPr/>
  <extLst>
    <ext uri="GoogleSheetsCustomDataVersion2">
      <go:sheetsCustomData xmlns:go="http://customooxmlschemas.google.com/" r:id="rId71" roundtripDataChecksum="qxJ3BXyQnnvN+bcnZgvU+9pLEy2AttHBzBofnkrTAi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ID#AAAB_NFqA6s
Ildar Bloodhound    (2026-06-08 18:12:32)
1/2 лаваша</t>
      </text>
    </comment>
  </commentList>
  <extLst>
    <ext uri="GoogleSheetsCustomDataVersion2">
      <go:sheetsCustomData xmlns:go="http://customooxmlschemas.google.com/" r:id="rId1" roundtripDataSignature="AMtx7miBbPvpXLtSigUcvxHrXnQBJ9v8ig=="/>
    </ext>
  </extLst>
</comments>
</file>

<file path=xl/sharedStrings.xml><?xml version="1.0" encoding="utf-8"?>
<sst xmlns="http://schemas.openxmlformats.org/spreadsheetml/2006/main" count="2811" uniqueCount="454">
  <si>
    <t>Ингредиент</t>
  </si>
  <si>
    <t>Ед.изм.</t>
  </si>
  <si>
    <t>Вкусвилл</t>
  </si>
  <si>
    <t>Рынок-Бухта</t>
  </si>
  <si>
    <t>turkish-food</t>
  </si>
  <si>
    <t>Кориандр</t>
  </si>
  <si>
    <t>г</t>
  </si>
  <si>
    <t>Корица</t>
  </si>
  <si>
    <t>Красный молотый перец</t>
  </si>
  <si>
    <t>Филе грудки куриное</t>
  </si>
  <si>
    <t>Бёдро без кости куриное</t>
  </si>
  <si>
    <t>Лимон</t>
  </si>
  <si>
    <t>мл</t>
  </si>
  <si>
    <t>Масло растительное</t>
  </si>
  <si>
    <t>Оливковое масло</t>
  </si>
  <si>
    <t>Сахар</t>
  </si>
  <si>
    <t>Сливочное масло</t>
  </si>
  <si>
    <t>Соль</t>
  </si>
  <si>
    <t>Сушёная мята</t>
  </si>
  <si>
    <t>Тимьян / Чабрец</t>
  </si>
  <si>
    <t>Тмин</t>
  </si>
  <si>
    <t>Томатная паста</t>
  </si>
  <si>
    <t>Чеснок</t>
  </si>
  <si>
    <t>Чёрный перец</t>
  </si>
  <si>
    <t>Маринованные огурцы (целые)</t>
  </si>
  <si>
    <t>Лаваш</t>
  </si>
  <si>
    <t>шт</t>
  </si>
  <si>
    <t>Манная крупа</t>
  </si>
  <si>
    <t>Мука пшеничная (Французская штучка)</t>
  </si>
  <si>
    <t>Пекмез</t>
  </si>
  <si>
    <t>Арахис</t>
  </si>
  <si>
    <t>Молоко</t>
  </si>
  <si>
    <t>Мороженое пломбир</t>
  </si>
  <si>
    <t>Тахин</t>
  </si>
  <si>
    <t>Йогурт</t>
  </si>
  <si>
    <t>Поставщик</t>
  </si>
  <si>
    <t>Вес/Объем упаковки</t>
  </si>
  <si>
    <t>Стоимость упаковки</t>
  </si>
  <si>
    <t>Стоимость за 1 ед. изм.</t>
  </si>
  <si>
    <t>Дата проценки</t>
  </si>
  <si>
    <t>вода</t>
  </si>
  <si>
    <t>METRO</t>
  </si>
  <si>
    <t>вход</t>
  </si>
  <si>
    <t>продукты</t>
  </si>
  <si>
    <t>цена филе бкбк</t>
  </si>
  <si>
    <t>цена филе грудки</t>
  </si>
  <si>
    <t>вытяжка</t>
  </si>
  <si>
    <t>кориандр</t>
  </si>
  <si>
    <t>№ тел</t>
  </si>
  <si>
    <t>https://b2b.lenta.com</t>
  </si>
  <si>
    <t>https://psk-pro.ru</t>
  </si>
  <si>
    <t>корица</t>
  </si>
  <si>
    <t>urazovildar@yandex.ru / axel33</t>
  </si>
  <si>
    <t>https://napolke.ru</t>
  </si>
  <si>
    <t>https://www.ventsistema.ru/uslugi/proektirovanie-system-ventilyacii-restoran-kafe</t>
  </si>
  <si>
    <t>заявка отправлена</t>
  </si>
  <si>
    <t>www.ews.ru/</t>
  </si>
  <si>
    <r>
      <rPr>
        <color rgb="FF1155CC"/>
        <u/>
      </rPr>
      <t>callcenter@ews.ru</t>
    </r>
  </si>
  <si>
    <t>https://ceds.ru/inzhenernye-sistemy/ventilyatsiya/ventilyatsiya-restoranov-kafe-i-barov</t>
  </si>
  <si>
    <t>от 0 до +2С</t>
  </si>
  <si>
    <t>10 дн?</t>
  </si>
  <si>
    <t>https://www.abri-kos.ru</t>
  </si>
  <si>
    <t>с/м</t>
  </si>
  <si>
    <t>https://marr.ru</t>
  </si>
  <si>
    <t>https://ventell.ru/ventilyatsiya-pomescheniy/ventilyatsiya-obschepita</t>
  </si>
  <si>
    <t>Axel33</t>
  </si>
  <si>
    <t>https://gfc-russia.ru/?version=2</t>
  </si>
  <si>
    <t>зам</t>
  </si>
  <si>
    <t>https://regul-vent.ru/page/montazh-ventilyatsii-dlya-predpriyatiy-obschestvennogo-pitaniya#2</t>
  </si>
  <si>
    <t>Лук репчатый</t>
  </si>
  <si>
    <t>https://cherri.msk.ru</t>
  </si>
  <si>
    <t>https://mosecoclean.ru/montazh-ventilyatsii-v-restorane</t>
  </si>
  <si>
    <t>от 0 до +25С</t>
  </si>
  <si>
    <t>365 дн</t>
  </si>
  <si>
    <t>https://beriozkafood.ru</t>
  </si>
  <si>
    <t>https://pskaksioma.ru/ventilyacziya-restoranov-kafe-i-barov</t>
  </si>
  <si>
    <t>Уксус яблочный</t>
  </si>
  <si>
    <t>https://fudstori.ru</t>
  </si>
  <si>
    <t>https://www.avito.ru/moskva/predlozheniya_uslug/proektirovanie_i_montazh_sistem_ventilyatsii_2244962269?context=H4sIAAAAAAAA_wE_AMD_YToyOntzOjEzOiJsb2NhbFByaW9yaXR5IjtiOjE7czoxOiJ4IjtzOjE2OiJxbVh4cVBqYVhjbjdldnVMIjt9U6a5OT8AAAA</t>
  </si>
  <si>
    <t>https://arosa.ru</t>
  </si>
  <si>
    <t>urazovildar@yandex.ru / Rakwl9rT</t>
  </si>
  <si>
    <t>https://vkusvill.ru/b2b</t>
  </si>
  <si>
    <t>https://rosinterfood.ru</t>
  </si>
  <si>
    <t>https://azbuka-produktov.ru</t>
  </si>
  <si>
    <t>озон</t>
  </si>
  <si>
    <t>https://ice-m.com</t>
  </si>
  <si>
    <t>скорее всего з/м</t>
  </si>
  <si>
    <t>https://swlife.ru</t>
  </si>
  <si>
    <t>охл</t>
  </si>
  <si>
    <t>Вагиф</t>
  </si>
  <si>
    <t>4±2°С.</t>
  </si>
  <si>
    <t>3 года</t>
  </si>
  <si>
    <t>https://opttorg-horeca.ru</t>
  </si>
  <si>
    <t>фудсити</t>
  </si>
  <si>
    <t>https://fydopt.ru</t>
  </si>
  <si>
    <t>9091694849 Оксана</t>
  </si>
  <si>
    <t>мерк чз всё есть</t>
  </si>
  <si>
    <t>https://grossfood.ru</t>
  </si>
  <si>
    <t>https://moslavash.ru</t>
  </si>
  <si>
    <t>цена при заказе 100шт доставкой</t>
  </si>
  <si>
    <t>5 суток</t>
  </si>
  <si>
    <t>https://food-fresh.ru</t>
  </si>
  <si>
    <t>Петрушка</t>
  </si>
  <si>
    <t>https://fk-frutcity.ru</t>
  </si>
  <si>
    <t>Помидоры - сливовые</t>
  </si>
  <si>
    <t>от +2 до +8С</t>
  </si>
  <si>
    <t>копченая паприка 1</t>
  </si>
  <si>
    <t>OZON</t>
  </si>
  <si>
    <t>Кетчуп Heinz</t>
  </si>
  <si>
    <t>Мука</t>
  </si>
  <si>
    <t>Ванилин</t>
  </si>
  <si>
    <t>Чеддер плавленный</t>
  </si>
  <si>
    <t>Hochland чизбургер</t>
  </si>
  <si>
    <t>упаковка</t>
  </si>
  <si>
    <t>https://1ea.ru</t>
  </si>
  <si>
    <t>https://severupack.ru</t>
  </si>
  <si>
    <t>Йогурт турецкий</t>
  </si>
  <si>
    <t>от 2С до 4С</t>
  </si>
  <si>
    <t>3 суток</t>
  </si>
  <si>
    <t>Паприка</t>
  </si>
  <si>
    <t>Сухой чеснок</t>
  </si>
  <si>
    <t>Лимонный сок</t>
  </si>
  <si>
    <t>Фарш Primebeef Классик говяжий охлажденный</t>
  </si>
  <si>
    <t>Сумах</t>
  </si>
  <si>
    <t>Кориандр молотый</t>
  </si>
  <si>
    <t>Ozon</t>
  </si>
  <si>
    <t>Зира (кумин)</t>
  </si>
  <si>
    <t>Майонез 30%</t>
  </si>
  <si>
    <t>Чеснок (сушёный)</t>
  </si>
  <si>
    <t>Масло фритюрное</t>
  </si>
  <si>
    <t>0 до +25С</t>
  </si>
  <si>
    <t>Картофель фри</t>
  </si>
  <si>
    <t>- 18С.</t>
  </si>
  <si>
    <t>18 мес</t>
  </si>
  <si>
    <t>Упаковка для комбо 1_1</t>
  </si>
  <si>
    <t>Мэтро METRO Chef Картофель фри 9х9мм замороженный, 2.5кг</t>
  </si>
  <si>
    <t>Перец турецкий острый</t>
  </si>
  <si>
    <t>Айран турецкий 2%</t>
  </si>
  <si>
    <t>Айран турецкий 2% коктельный</t>
  </si>
  <si>
    <t>https://turkish-food.ru/tureckie-syry/ajran-tureckij-500ml</t>
  </si>
  <si>
    <t>Сахарный сироп</t>
  </si>
  <si>
    <t xml:space="preserve">Концентрат сока </t>
  </si>
  <si>
    <t>WB</t>
  </si>
  <si>
    <t>Вода газированная</t>
  </si>
  <si>
    <t>Лёд куб</t>
  </si>
  <si>
    <t>Чай чёрный турецкий</t>
  </si>
  <si>
    <t>Турецкий кофе KURUKAHVECI MEHMET EFENDI</t>
  </si>
  <si>
    <t>https://turkish-food.ru/tureckoe-kofe-kurukahveci-mehmet-efendi-500-gr?search=кофе</t>
  </si>
  <si>
    <t>Турецкий кофе с фундуком nuri toplar</t>
  </si>
  <si>
    <t>https://www.wildberries.ru/catalog/258223891/detail.aspx</t>
  </si>
  <si>
    <t>Кардамон молотый</t>
  </si>
  <si>
    <t>https://www.ozon.ru/product/kardamon-molotyy-100-g-1849597845/?at=OgtEmzDNzuRK9R0RiNxw3nBiWB6KX0Iv7ygvrTqvEPqG</t>
  </si>
  <si>
    <t>Сыр сулугуни</t>
  </si>
  <si>
    <t>https://gurman-llc.ru/catalog/syry/syr_suluguni_starodub_kopchyenyy_45_krug_800_gr/</t>
  </si>
  <si>
    <t>Айран 2%</t>
  </si>
  <si>
    <t>https://vavilon5.github.io/assets/html/ayran.html</t>
  </si>
  <si>
    <t>https://country-shop.ru/katalog/products/food_beverages/salep-casvaa-250-gr</t>
  </si>
  <si>
    <t>копченая паприка 2</t>
  </si>
  <si>
    <t>Чечевица красная</t>
  </si>
  <si>
    <t>Морковь</t>
  </si>
  <si>
    <t>перек</t>
  </si>
  <si>
    <t>Картофель</t>
  </si>
  <si>
    <t>Чеддер для соуса плавленый</t>
  </si>
  <si>
    <t>Курдюк</t>
  </si>
  <si>
    <t>Фри в панировке</t>
  </si>
  <si>
    <t>Сахар порционный</t>
  </si>
  <si>
    <t>Размешиватель для напитков</t>
  </si>
  <si>
    <t>Сгущенка</t>
  </si>
  <si>
    <t>Какао-порошок</t>
  </si>
  <si>
    <t>Кунжут</t>
  </si>
  <si>
    <t>Лук гранулированный</t>
  </si>
  <si>
    <t>Кола Добрый</t>
  </si>
  <si>
    <t>Хмели Сунели</t>
  </si>
  <si>
    <t>Сырный соус Heinz</t>
  </si>
  <si>
    <t>Перец Якан</t>
  </si>
  <si>
    <t>Сливки 22%</t>
  </si>
  <si>
    <t>Моцарелла</t>
  </si>
  <si>
    <t>Стейкхаус Фри</t>
  </si>
  <si>
    <t>Соус гриль</t>
  </si>
  <si>
    <t>Айсберг</t>
  </si>
  <si>
    <t>Петрушка свежая</t>
  </si>
  <si>
    <t>Лук красный</t>
  </si>
  <si>
    <t>Лук сушеный жареный</t>
  </si>
  <si>
    <t>Цитрат натрия</t>
  </si>
  <si>
    <t>Наршараб</t>
  </si>
  <si>
    <t>сыр Гойя</t>
  </si>
  <si>
    <t>Чиабатта</t>
  </si>
  <si>
    <t>Суджук</t>
  </si>
  <si>
    <t xml:space="preserve">сыр Российский </t>
  </si>
  <si>
    <t>Исот</t>
  </si>
  <si>
    <t>Орегано</t>
  </si>
  <si>
    <t>Скумбрия</t>
  </si>
  <si>
    <t>Адмирал</t>
  </si>
  <si>
    <t>Соевый соус</t>
  </si>
  <si>
    <t>Лук белый</t>
  </si>
  <si>
    <t>Салеп</t>
  </si>
  <si>
    <t>Перец красный сладкий</t>
  </si>
  <si>
    <t>Масло оливковое</t>
  </si>
  <si>
    <t>Сода</t>
  </si>
  <si>
    <t>Шоколадные камушки</t>
  </si>
  <si>
    <t>ОПТ ВОСТОК</t>
  </si>
  <si>
    <t>Лукум в шоколадке с мандарином</t>
  </si>
  <si>
    <t>Категория</t>
  </si>
  <si>
    <t>Наименование</t>
  </si>
  <si>
    <t>цена</t>
  </si>
  <si>
    <t>цена в доставке</t>
  </si>
  <si>
    <t>cost финальный</t>
  </si>
  <si>
    <t>cost продуктов</t>
  </si>
  <si>
    <t>выход</t>
  </si>
  <si>
    <t>с/с продуктов</t>
  </si>
  <si>
    <t>с/с списания</t>
  </si>
  <si>
    <t>с/с упаковка</t>
  </si>
  <si>
    <t>с/с общая</t>
  </si>
  <si>
    <t>Дюрюмы</t>
  </si>
  <si>
    <t>Напитки</t>
  </si>
  <si>
    <t>Айран</t>
  </si>
  <si>
    <t>Лимонад</t>
  </si>
  <si>
    <t>Фингерфуд</t>
  </si>
  <si>
    <t>Суп</t>
  </si>
  <si>
    <t>Extra</t>
  </si>
  <si>
    <t>Десерты</t>
  </si>
  <si>
    <t>Кмобо</t>
  </si>
  <si>
    <t xml:space="preserve">Название </t>
  </si>
  <si>
    <t>%</t>
  </si>
  <si>
    <t>Коэффициент надбавки</t>
  </si>
  <si>
    <t>Комиссия яндекса</t>
  </si>
  <si>
    <t>стоимость доставки в заказе в долях</t>
  </si>
  <si>
    <t>Итого</t>
  </si>
  <si>
    <t>Наименование ТТК:</t>
  </si>
  <si>
    <t>Сырный соус</t>
  </si>
  <si>
    <t>Брутто</t>
  </si>
  <si>
    <t>Нетто</t>
  </si>
  <si>
    <t>вес потери</t>
  </si>
  <si>
    <t>% потери</t>
  </si>
  <si>
    <t>с/с руб.</t>
  </si>
  <si>
    <t>с/с %</t>
  </si>
  <si>
    <t>Выход (мл.)</t>
  </si>
  <si>
    <t>г.</t>
  </si>
  <si>
    <t>Технология приготовления</t>
  </si>
  <si>
    <t>Добавить в соусник 30гр соуса</t>
  </si>
  <si>
    <t>с/с</t>
  </si>
  <si>
    <t>Для расчёта цены продажи</t>
  </si>
  <si>
    <t>руб</t>
  </si>
  <si>
    <t>цена так</t>
  </si>
  <si>
    <t>cost (%)</t>
  </si>
  <si>
    <t>price</t>
  </si>
  <si>
    <t>на месте</t>
  </si>
  <si>
    <t>с собой</t>
  </si>
  <si>
    <t>доставка</t>
  </si>
  <si>
    <t>списания</t>
  </si>
  <si>
    <t>салфетки 4 шт.</t>
  </si>
  <si>
    <t>зубочистка</t>
  </si>
  <si>
    <t>пакет</t>
  </si>
  <si>
    <t>наклейка брендированная</t>
  </si>
  <si>
    <t>Соусник</t>
  </si>
  <si>
    <t>Крышка</t>
  </si>
  <si>
    <t xml:space="preserve">цена </t>
  </si>
  <si>
    <t>cost общий</t>
  </si>
  <si>
    <t>cost - продукции</t>
  </si>
  <si>
    <t>с/с общий</t>
  </si>
  <si>
    <t>Кетчуп</t>
  </si>
  <si>
    <t>Чай чёрный</t>
  </si>
  <si>
    <t>Вкусы</t>
  </si>
  <si>
    <t>База</t>
  </si>
  <si>
    <t>Акцент</t>
  </si>
  <si>
    <t>мл.</t>
  </si>
  <si>
    <t>Арбуз</t>
  </si>
  <si>
    <t>Айва</t>
  </si>
  <si>
    <t>Гранат</t>
  </si>
  <si>
    <t>Яблоко</t>
  </si>
  <si>
    <t>Кизил</t>
  </si>
  <si>
    <t>Виноград</t>
  </si>
  <si>
    <t>Розовая вода</t>
  </si>
  <si>
    <t xml:space="preserve">Клубника </t>
  </si>
  <si>
    <t>Розмарин</t>
  </si>
  <si>
    <t>-</t>
  </si>
  <si>
    <t>1. Смешать газированную воду, концентрат сока, сахарный сиор, лёд</t>
  </si>
  <si>
    <t>с/с блюда</t>
  </si>
  <si>
    <t>Итого с/с</t>
  </si>
  <si>
    <t>Зал</t>
  </si>
  <si>
    <t>Доставка</t>
  </si>
  <si>
    <t>Айран коктейль</t>
  </si>
  <si>
    <t>1. Смешать сахарный сироп с концентратом
2. Влить смесь в айран и взболтать
3. Добавить газированную воду
4. Добавить кубики льда
5. Смешать (не взбалтывать)</t>
  </si>
  <si>
    <t>1. Засыпать чай в чашку
2. Залить кипятком</t>
  </si>
  <si>
    <t>Манная халва с шоколадом</t>
  </si>
  <si>
    <t>п/ф Манная халва</t>
  </si>
  <si>
    <t>п/ф Топинг шоколадный</t>
  </si>
  <si>
    <t>Выложить в тару, шоколад сверху, подогреть в СВЧ 1.5 мин на средней мощности. Подать</t>
  </si>
  <si>
    <t>Супница</t>
  </si>
  <si>
    <t>Ложка с упаковкой</t>
  </si>
  <si>
    <t>Кофе по-турецки</t>
  </si>
  <si>
    <t>Размешать кофе с холодной водой в турке, погрузить в песок, аккуратно покачивая. Как только начинает закипать, вытаскиваем, погружаем. повторяем 2 раза</t>
  </si>
  <si>
    <t>сахер у нас бесплатный</t>
  </si>
  <si>
    <t>Смешать в стакане ложкой или размешивателем салеп с молоком до однородной массы. посыпать корицу</t>
  </si>
  <si>
    <t>Наименование блюда:</t>
  </si>
  <si>
    <t>Чечевичный суп</t>
  </si>
  <si>
    <t>Объём потери</t>
  </si>
  <si>
    <t>п/ф Чечевичный суп</t>
  </si>
  <si>
    <t>п/ф Лимонная заправка</t>
  </si>
  <si>
    <t>Налейте 300мл (3 половника) супа в супницу. Добавьте 5мл лимонно-папричной заправки обязательно предварительно взболтав! при заказе навынос закройте крышкой. Обязательно подайте ложку в пакете.</t>
  </si>
  <si>
    <t>Состав позиции</t>
  </si>
  <si>
    <t>доля статьи %</t>
  </si>
  <si>
    <t xml:space="preserve"> </t>
  </si>
  <si>
    <t>1гр</t>
  </si>
  <si>
    <t>100гр</t>
  </si>
  <si>
    <t>200гр</t>
  </si>
  <si>
    <t>250гр</t>
  </si>
  <si>
    <t>300гр</t>
  </si>
  <si>
    <t xml:space="preserve">Цена </t>
  </si>
  <si>
    <t>для доставки</t>
  </si>
  <si>
    <t>с/с продукции + с/с упаковки</t>
  </si>
  <si>
    <t>Наименование позиции:</t>
  </si>
  <si>
    <t>Комбо ЛАЙТ</t>
  </si>
  <si>
    <t>Упаковка для дюрюма</t>
  </si>
  <si>
    <t>Упаковка для супа</t>
  </si>
  <si>
    <t>cost %</t>
  </si>
  <si>
    <t>руб.</t>
  </si>
  <si>
    <t>TOTAL COST</t>
  </si>
  <si>
    <t>PACKAGE COST</t>
  </si>
  <si>
    <t>FOOD COST</t>
  </si>
  <si>
    <t>Цена</t>
  </si>
  <si>
    <t>Цена в доставку (recommend)</t>
  </si>
  <si>
    <t>Комбо ОБЕД</t>
  </si>
  <si>
    <t>Кола</t>
  </si>
  <si>
    <t>Фри</t>
  </si>
  <si>
    <t>Соус</t>
  </si>
  <si>
    <t>Упаковка для соуса</t>
  </si>
  <si>
    <t>Упаковка для фри</t>
  </si>
  <si>
    <t>PACAGE COST</t>
  </si>
  <si>
    <t>Кебаб Искенди</t>
  </si>
  <si>
    <t>п/ф Фарш Primebeef Классик жареный</t>
  </si>
  <si>
    <t>п/ф Лаваш Искенди</t>
  </si>
  <si>
    <t>шт.</t>
  </si>
  <si>
    <t>п/ф Соус Кебаб</t>
  </si>
  <si>
    <t>п/ф Лук маринованный</t>
  </si>
  <si>
    <t>Подача: на половине половины лаваша(П/Ф), соус кебаб 40гр, лук
Маринованный пф 30гр</t>
  </si>
  <si>
    <t>Алюм контейнер</t>
  </si>
  <si>
    <t>крышка</t>
  </si>
  <si>
    <t>Дюрюм mini</t>
  </si>
  <si>
    <t>п/ф курица жареная</t>
  </si>
  <si>
    <t>п/ф Лаваш Искенди 1/2</t>
  </si>
  <si>
    <t>п/ф искандер соус</t>
  </si>
  <si>
    <t>п/ф Фри</t>
  </si>
  <si>
    <t xml:space="preserve">
1. Разогреть гриль до 200
4. Разместить один лаваш поверх другого симметрично
5. Выложить дорожкой по центру маринованные огурцы
6. Выложить дорожкой по центру помидоры нарезанные
7. Выложить дорожкой по центру мясо 
8. Разместить по центру белый соус и Искенди
9. Завернуть лаваш
10. полить гриль полоской 20 гр соуса и поджарить 30 секунд до слегка тёмной корочки
*в 10-м пункте начинать жарить со стороны открытого лаваша ( нужно запечатать )
</t>
  </si>
  <si>
    <t>салфетки 2 шт.</t>
  </si>
  <si>
    <t>Гриль пакет</t>
  </si>
  <si>
    <t>Фольга</t>
  </si>
  <si>
    <t>Цена в доставку</t>
  </si>
  <si>
    <t>Дюрюм</t>
  </si>
  <si>
    <t>Комбо: Дюрюм + фри + соус + напиток</t>
  </si>
  <si>
    <t>Выход</t>
  </si>
  <si>
    <t>цена по отдельности</t>
  </si>
  <si>
    <t>цена комбо</t>
  </si>
  <si>
    <t>выгода гостя %</t>
  </si>
  <si>
    <t>cost</t>
  </si>
  <si>
    <t>Iskanderun Durum Tavuk</t>
  </si>
  <si>
    <t>Фри на продажу</t>
  </si>
  <si>
    <t>Соус сырный/кетчуп</t>
  </si>
  <si>
    <t>Напиток на выбор</t>
  </si>
  <si>
    <t>Стакан</t>
  </si>
  <si>
    <t>Перец якан турецкий</t>
  </si>
  <si>
    <t>п/ф соус Нар</t>
  </si>
  <si>
    <t xml:space="preserve">
1. Разогреть гриль до 200
4. Разместить один лаваш поверх другого симметрично
5. Выложить дорожкой по центру маринованные огурцы
6. Выложить дорожкой по центру помидоры нарезанные
7. Выложить дорожкой по центру мясо 
8. Разместить по центру соус нар, жареный лук и соус Искенди
9. Завернуть лаваш
10. полить гриль полоской 20 гр соуса и поджарить 30 секунд до слегка тёмной корочки
*в 10-м пункте начинать жарить со стороны открытого лаваша ( нужно запечатать )
</t>
  </si>
  <si>
    <t>cost упаковки</t>
  </si>
  <si>
    <t>Балык Дюрюм</t>
  </si>
  <si>
    <t>п/ф Скумбрия</t>
  </si>
  <si>
    <t>п/ф айсберг</t>
  </si>
  <si>
    <t>п/ф специи балык</t>
  </si>
  <si>
    <t>п/ф перец сладкий</t>
  </si>
  <si>
    <t>п/ф обмазка балыка</t>
  </si>
  <si>
    <t>п/ф Лук - сумах</t>
  </si>
  <si>
    <t xml:space="preserve">Пожарить скумбрию по 3 мин с каждой стороны на жарочном масле на 200 градусов.
Выложить на лаваш
Положить айсберг с морковью на рыбу.
Положить черпак помидоров вдоль рыбы
Посыпать специями
Полить соусом нар
Завернуть
Обжарить с двух сторон по 30 сек на 200 градусов на жарочном масле
Посыпать обжаренный специями с двух сторон
Добавить дольку лимона сверху
</t>
  </si>
  <si>
    <t>5 кружков</t>
  </si>
  <si>
    <t>п/ф соус для суджука</t>
  </si>
  <si>
    <t>збс</t>
  </si>
  <si>
    <t xml:space="preserve">
1. Разогреть гриль до среднего жара
2. Промазать 2 лаваша с одной стороны соусом п/ф искандер соус
3. Поджарить каждый лаваш с двух сторон по 30 секунд на гриле
4. Разместить один лаваш поверх другого симметрично
5. Выложить дорожкой по центру маринованные огурцы
6. Выложить дорожкой по центру помидоры нарезанные
7. Выложить дорожкой по центру мясо 
8. Разместить по центру белый соус
9. Завернуть лаваш
10. Смазать соусом искандер  каждую сторону лаваша и поджарить 30 секунд до слегка тёмной корочки
*в 10-м пункте начинать жарить со стороны открытого лаваша ( нужно запечатать )
</t>
  </si>
  <si>
    <t>посчитан Hochland чизбургер</t>
  </si>
  <si>
    <t>Iskendy Durum - mini</t>
  </si>
  <si>
    <t>п/ф мясо жареннное</t>
  </si>
  <si>
    <t>п/ф майонез турецкий</t>
  </si>
  <si>
    <t>Кофе по-турецки с кардамоном</t>
  </si>
  <si>
    <t>Кардамон молотый зелёный</t>
  </si>
  <si>
    <t>Кофе по-турецки с фундуком</t>
  </si>
  <si>
    <t>Iskendy Durum Zurna</t>
  </si>
  <si>
    <t xml:space="preserve">
1. Разогреть гриль до 200
4. Разместить один лаваш поверх другого симметрично
5. Выложить дорожкой по центру маринованные огурцы
6. Выложить дорожкой по центру помидоры нарезанные
7. Выложить дорожкой по центру мясо 
8. Разместить по центру белый соус
9. Завернуть лаваш
10. Смазать соусом искандер  каждую сторону лаваша и поджарить 30 секунд до слегка тёмной корочки
*в 10-м пункте начинать жарить со стороны открытого лаваша ( нужно запечатать )
</t>
  </si>
  <si>
    <t>с/с продкции + с/с упаковки</t>
  </si>
  <si>
    <t>Комбо: Дюрюм + суп +фри + соус + напиток</t>
  </si>
  <si>
    <t>Выход комбо</t>
  </si>
  <si>
    <t>Выход соло</t>
  </si>
  <si>
    <t>Ложка+конверт</t>
  </si>
  <si>
    <t>Жарить во фритюре 3мин 15 сек. Добавить смесь соли и паприки двумя быстрыми кивками. Подать в стакане</t>
  </si>
  <si>
    <t>Наложить 10гр щипцами в соусник</t>
  </si>
  <si>
    <t>Искандер соус</t>
  </si>
  <si>
    <t>Вода</t>
  </si>
  <si>
    <t>Манная халва</t>
  </si>
  <si>
    <t>Выложить в тару, подогреть в СВЧ. Подать</t>
  </si>
  <si>
    <t>маржа</t>
  </si>
  <si>
    <t>Сырный дип</t>
  </si>
  <si>
    <t>п/ф Сырный дип</t>
  </si>
  <si>
    <t>Расфасовать в соусники 80мл по 50 гр.
, подогреть в СВЧ до 45 градусов. Подать</t>
  </si>
  <si>
    <t>ка</t>
  </si>
  <si>
    <t>Шоколад Искенди</t>
  </si>
  <si>
    <t>Выход (г.)</t>
  </si>
  <si>
    <t>п/ф тахини'</t>
  </si>
  <si>
    <t>Приготовление:
Смешать сухие ингредиенты.
Постепенно добавляем в какао сгущённое молоко, постоянно помешивая. Используем миксер на низкой скорости. Добавляем тахини, мешаем дальше.
Добавляем масло. Заранее растапливаем сливочное масло в микроволновке и вливаем в смесь. Перемешиваем до однородности.
Охлаждаем и храним в холодильнике. Хранится в холодильнике до 1 месяца☝️</t>
  </si>
  <si>
    <t>90гр</t>
  </si>
  <si>
    <t>прайс</t>
  </si>
  <si>
    <t>?</t>
  </si>
  <si>
    <t>1. Приготовьте сироп:  
Доведите до кипения воду на 2000вт. Добавьте сахар, воду, соль,  ваниль кардамон (порошок).  и варите 2 минуты на 500вт. Отставьте в сторону.
2. Обжарьте манку:  
 В отдельной сковороде или кастрюле с толстым дном налейте растительное масло, затем в него добавьте сливочное масло и растопите. Добавьте манную крупу и обжаривайте на 1000вт, постоянно помешивая! пока она не станет золотисто-коричневой (примерно 8–10 минут) на 500-1000вт. Будьте внимательны — манка легко пригорает!
3.Соедините сироп и манку: 
Медленно, тонкой струйкой влейте горячий сироп в обжаренную манку, постоянно помешивая (будьте осторожны — смесь начинает бурлить и брызгать! Продолжайте варить около 3-4 минут 500вт, пока масса не загустеет и не начнёт отставать от стенок. Готово👌 Переложить в гастроемкость, пока не остыла!</t>
  </si>
  <si>
    <t>п/ф специи для супа</t>
  </si>
  <si>
    <t>1. Промойте чечевицу под холодной водой, пока вода не станет прозрачной.
2. Обжарьте овощи:  
В кастрюле разогрейте масло на 500вт. Нарежьте овощи на овощерезке кубиком или ножом произвольно. Добавьте лук и обжаривайте до прозрачности на 800-1000вт, чтобы не пригорал. Добавьте все овощи, кроме чечевицы, готовьте ещё 3–4 минуты, следите, чтобы не пригорало. 
Затем добавьте томатную пасту и тушите 2–3 минуты, чтобы ушла кислинка.
3. Добавьте чечевицу, специи и воду:  
Добавьте промытую чечевицу в кастрюлю, соль, сок лимона, все специи. Перемешайте. Залейте водой. Перемешайте. Доведите до кипения на 2000вт, далее снижаем до 500-800вт
4. Варите суп:  
Уменьшите огонь до 500-800вт, накройте кастрюлю крышкой и варите 30 минут, пока чечевица не станет мягкой и не начнёт развариваться.
5. Измельчите суп:  
Для более гладкой консистенции — взбейте суп блендером до однородности. Затем снова довести до кипения!</t>
  </si>
  <si>
    <t>Перелейте 1 литр лимонного сока в соусник, добавьте 15гр паприки. Тщательно взболтайте.</t>
  </si>
  <si>
    <t>Выход (шт)</t>
  </si>
  <si>
    <t>Приготовление:
Смазать каждую сторону 60мл п/ф искандер соус
3. Поджарить каждый лаваш с двух сторон по 30 секунд на гриле при 225гр. Жареный лаваш сложить на пополам прямо на гриле и переложить в контейнер, не забыв его закрыть!</t>
  </si>
  <si>
    <t>п/ф Тахини</t>
  </si>
  <si>
    <t>соль</t>
  </si>
  <si>
    <t>Приготовление:
Подсушить кунжут (обязательно!):  
На сковороде на 500-800вт, слегка обжарить 3–5 минут, постоянно помешивая, пока он не станет ароматным и чуть золотистым.  
Это усилит вкус и поможет лучше измельчиться!!!
Остудить кунжут градусов до 40 (горячий кунжут может выделить слишком много масла и стать горьким).
Измельчаем в блендере:  
Засыпать кунжут в чашу.  
Включаем на максимум и мелим 1–2 минуты — сначала будет крошкой, потом начнёт комковаться☝️
Добавляем масло понемногу☝️
Продолжая взбивать, вливаем понемногу, пока масса не станет гладкой и кремовой.
Добавляем соль.
Продолжаем взбивать, пока паста не станет однородной и блестящей — это может занять 3–5 минут.</t>
  </si>
  <si>
    <t>п/ф курица маринованная</t>
  </si>
  <si>
    <t>п/ф специи для курицы</t>
  </si>
  <si>
    <t>1. Нарезать курицу
2. Добавить масло и томатную пасту
3. Добавить смесь специй, сахар и соль
4. Тщательно перемешать до однородного цвета. 
5. Накрыть крышкой и оставь в холодильнике минимум на 1 час, лучше — на ночь (8–12 ч)</t>
  </si>
  <si>
    <t>Добавлять в курицу в расчете 19гр смеси специй на 1 кг курицы</t>
  </si>
  <si>
    <t>Смешать</t>
  </si>
  <si>
    <t>В небольшую гастроемкость
выложить томатную пасту. Постепенно влить воду, постоянно помешивая, чтобы не было комочков.
Добавить все специи, соль, сахар и лимонный сок. Хорошо всё перемешать ложкой или миксером с венчиком. Дать настояться в холодильнике не менее 30 минут❗️</t>
  </si>
  <si>
    <t>Лук нарезать полукольцами. Смешать с со специями и уксусом. Дать настояться в холодильнике</t>
  </si>
  <si>
    <t>Лук нарезать перьями. Смешать с со специями и уксусом. Дать настояться в холодильнике</t>
  </si>
  <si>
    <t>п/ф Фарш Primebeef Классик говяжий охлажденный</t>
  </si>
  <si>
    <t>Приготовление: смешать в большой миске:
  говяжий фарш,
  специи все.
Вымешивать фарш не менее 5–7 минут — до тех пор, пока он не станет липким и эластичным. Это важно: так кебабы не развалятся при жарке!!!
Охладить фарш в холодильнике (дать помариноваться) не менее 60 минут — это улучшит структуру и облегчит формовку.</t>
  </si>
  <si>
    <t>п/ф Фарш Primebeef Классик маринованный</t>
  </si>
  <si>
    <t>Жарка:
Сформируйте кебабы в форме для кебаба, взяв 150 грамм готового фарша. Жарьте на гриле 250° градусов  по 3 минуты, с каждой стороны.</t>
  </si>
  <si>
    <t>фри</t>
  </si>
  <si>
    <t>Жарить во фритюре 3 мин. 15 сек. Добавить соль кивком руки. 1 кивок на 150гр</t>
  </si>
  <si>
    <t xml:space="preserve">Жарить во фритюре 3 мин. 15 сек. Добавить соль кивком руки. 1 кивок на 150гр						</t>
  </si>
  <si>
    <t>1. Разогреть 2.5л воды в гастроемкости на индукционной плите на 2квт до легкого кипения, добавив смесь соли и сахара, помешивая до растворения их. Отставить в сторону на пробковую подставку.
2. Добавить в кастрюлю масло и томатную пасту нужных граммовок.
3. Начать пробивать погружным блендером viatto пасту с маслом до однородной смеси. 
4. Ставим кастрюлю на плиту на 1.8квт, продолжаем пробивать водя ножкой блендера по дну кастрюли по кругу, не забываю про центр, там может сильнее пригорать 5мин. Добавляем тимьян с чесноком, пробиваем 1 мин. Добавляем 2.5л нагретой воды, пробиваем 2 мин. Добавляем 5л воды, пробиваем 2 минуты. Устанавливаем мощность 2квт, доводим до кипения. После закипания устанавливаем 500вт на 10 мин и закрываем крышкой.   7. Перелить соус в гастроёмкость
8. Наклеить маркировку</t>
  </si>
  <si>
    <t>п/ф мясо маринованное</t>
  </si>
  <si>
    <t>Говядина - лопатка</t>
  </si>
  <si>
    <t>Лук</t>
  </si>
  <si>
    <t>1. Нарезать говядину тонкими слайсами (0.2–0.5 см) поперёк волокон в виде прямоугольников
2. Смешать все ингредиенты маринада до однородности
3. Выложить мясо в квадратную форму для выпекания, расположив слайсы в одном направлении разреза волоков
4. Замариновать мясо и выдержать 12-16 часов в холодильнике</t>
  </si>
  <si>
    <t>масло растительное</t>
  </si>
  <si>
    <t>1. Смазать растительным маслом предварительно нагретый гриль до 200
2. Выложить куски мяса равномерно распределив их по площади жарочной поверхности
3. Обжарить до золотистой корочки 5 минут с каждой стороны, контролировать, если пригорает убавить температуру.
4. Проверить готовность, разрезая мясо попололам шпателем или щипцами
5. Выложить готовое мясо в тару для хранения готовго мяса</t>
  </si>
  <si>
    <t>п/ф говядина маринованная</t>
  </si>
  <si>
    <t>1. Запекать при 90 °C 2.5–3 часа под фольгой (протомить)
2. Остудить до 45 °C
3. Нарезать поперёк слоёв и выложить в тепловой мармид</t>
  </si>
  <si>
    <t xml:space="preserve">Наименование ТТК: </t>
  </si>
  <si>
    <t xml:space="preserve">
1. Подготовить смесь специй
2. Добавляем смесь специй и сливки в сотейник или кастрюлю.
3. Разогреваем на 1000 Вт до закипания
4. После закипания ставим 60 градусов
5. Добавляем моцареллу, перемешываем до её расворния и однородной массы.
6. Добавляем плавленный чеддер, перемешиваем до растворения на 100 градусов
7. Готово. Даем настояться 30-40 мин.
8. Расфасовать в соусники 80мл по 50 гр.
</t>
  </si>
  <si>
    <t>1 гр</t>
  </si>
  <si>
    <t>Айсберг: вырезать кочерыжку, нашинковать. Морковь очистить и натереть на терке. Смешать</t>
  </si>
  <si>
    <t>п/ф скумбрия</t>
  </si>
  <si>
    <t>Филировать рыбу, добавить масло и соль</t>
  </si>
  <si>
    <t>Вдавить внутрь хвостик, разломить на две части, удалить хвостик, семена, перегородки. Промыть водой</t>
  </si>
  <si>
    <t>п/ф Соус Нар</t>
  </si>
  <si>
    <t>Смешать до однородной консистенции.</t>
  </si>
  <si>
    <t>п/ф искандер соус по-Хатайски</t>
  </si>
  <si>
    <t>Выход (мл)</t>
  </si>
  <si>
    <t>п/ф луковый сок</t>
  </si>
  <si>
    <t>1. Разогрейть растительное масло в сотейнике на среднем огне.
2. Добавить томатную пасту и обжарить 2 минуты. Масло должно впитаться в томатную пасту. Паста должна получить рыхлую структуру.
3. Влить кипяток, добавить луковый сок, ломтик лимона
4. Довести соус до кипения на среднем огне.
5. Добавить все специи.
6. Уменьшить огонь до слабого и варить соус 10–15 минут до лёгкого загустения.
7. Добавить сливочное масло и перемешать до полного растворения.
*Подавать горячим (чем чаще греете, тем больше воды выпаривается и гуще становится)</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</si>
</sst>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
    <numFmt numFmtId="165" formatCode="dd.mm"/>
    <numFmt numFmtId="166" formatCode="0.0"/>
    <numFmt numFmtId="167" formatCode="0.0%"/>
    <numFmt numFmtId="168" formatCode="#,##0.0"/>
    <numFmt numFmtId="169" formatCode="[$р.-419]#,##0.00"/>
    <numFmt numFmtId="170" formatCode="#,##0.000"/>
  </numFmts>
  <fonts count="17">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
      <u/>
      <color rgb="FF0000FF"/>
    </font>
    <font>
      <sz val="12.0"/>
      <color rgb="FF33435B"/>
      <name val="Lato"/>
    </font>
    <font>
      <sz val="12.0"/>
      <color rgb="FF1A1A1A"/>
      <name val="Arial"/>
    </font>
    <font>
      <sz val="12.0"/>
      <color rgb="FF1A1A1A"/>
      <name val="Euclid"/>
    </font>
    <font>
      <sz val="12.0"/>
      <color rgb="FF333333"/>
      <name val="Roboto"/>
    </font>
    <font>
      <u/>
      <color rgb="FF0000FF"/>
    </font>
    <font>
      <color theme="1"/>
      <name val="Calibri"/>
    </font>
    <font>
      <u/>
      <color rgb="FF0000FF"/>
    </font>
    <font>
      <u/>
      <color rgb="FF0000FF"/>
      <name val="Calibri"/>
      <scheme val="minor"/>
    </font>
    <font>
      <color rgb="FF000000"/>
      <name val="Calibri"/>
      <scheme val="minor"/>
    </font>
    <font/>
    <font>
      <sz val="13.0"/>
      <color theme="1"/>
      <name val="Calibri"/>
    </font>
  </fonts>
  <fills count="15">
    <fill>
      <patternFill patternType="none"/>
    </fill>
    <fill>
      <patternFill patternType="lightGray"/>
    </fill>
    <fill>
      <patternFill patternType="solid">
        <fgColor rgb="FFEFEFEF"/>
        <bgColor rgb="FFEFEFEF"/>
      </patternFill>
    </fill>
    <fill>
      <patternFill patternType="solid">
        <fgColor rgb="FFF2F4F8"/>
        <bgColor rgb="FFF2F4F8"/>
      </patternFill>
    </fill>
    <fill>
      <patternFill patternType="solid">
        <fgColor rgb="FFFFFFFF"/>
        <bgColor rgb="FFFFFFFF"/>
      </patternFill>
    </fill>
    <fill>
      <patternFill patternType="solid">
        <fgColor rgb="FFF0F0F4"/>
        <bgColor rgb="FFF0F0F4"/>
      </patternFill>
    </fill>
    <fill>
      <patternFill patternType="solid">
        <fgColor rgb="FFD9D9D9"/>
        <bgColor rgb="FFD9D9D9"/>
      </patternFill>
    </fill>
    <fill>
      <patternFill patternType="solid">
        <fgColor rgb="FFFFFF00"/>
        <bgColor rgb="FFFFFF00"/>
      </patternFill>
    </fill>
    <fill>
      <patternFill patternType="solid">
        <fgColor rgb="FF9FC5E8"/>
        <bgColor rgb="FF9FC5E8"/>
      </patternFill>
    </fill>
    <fill>
      <patternFill patternType="solid">
        <fgColor rgb="FFCCCCCC"/>
        <bgColor rgb="FFCCCCCC"/>
      </patternFill>
    </fill>
    <fill>
      <patternFill patternType="solid">
        <fgColor rgb="FFA4C2F4"/>
        <bgColor rgb="FFA4C2F4"/>
      </patternFill>
    </fill>
    <fill>
      <patternFill patternType="solid">
        <fgColor rgb="FFF3F3F3"/>
        <bgColor rgb="FFF3F3F3"/>
      </patternFill>
    </fill>
    <fill>
      <patternFill patternType="solid">
        <fgColor rgb="FFFFF2CC"/>
        <bgColor rgb="FFFFF2CC"/>
      </patternFill>
    </fill>
    <fill>
      <patternFill patternType="solid">
        <fgColor rgb="FFB6D7A8"/>
        <bgColor rgb="FFB6D7A8"/>
      </patternFill>
    </fill>
    <fill>
      <patternFill patternType="solid">
        <fgColor rgb="FFE67C73"/>
        <bgColor rgb="FFE67C73"/>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2" numFmtId="0" xfId="0" applyAlignment="1" applyBorder="1" applyFont="1">
      <alignment horizontal="left" readingOrder="0"/>
    </xf>
    <xf borderId="1" fillId="2" fontId="2" numFmtId="2" xfId="0" applyAlignment="1" applyBorder="1" applyFont="1" applyNumberFormat="1">
      <alignment horizontal="left" readingOrder="0"/>
    </xf>
    <xf borderId="1" fillId="0" fontId="3" numFmtId="0" xfId="0" applyBorder="1" applyFont="1"/>
    <xf borderId="1" fillId="0" fontId="3" numFmtId="2" xfId="0" applyBorder="1" applyFont="1" applyNumberFormat="1"/>
    <xf borderId="1" fillId="0" fontId="3" numFmtId="0" xfId="0" applyAlignment="1" applyBorder="1" applyFont="1">
      <alignment readingOrder="0"/>
    </xf>
    <xf borderId="1" fillId="0" fontId="1" numFmtId="0" xfId="0" applyAlignment="1" applyBorder="1" applyFont="1">
      <alignment horizontal="left" vertical="top"/>
    </xf>
    <xf borderId="1" fillId="0" fontId="1" numFmtId="3" xfId="0" applyAlignment="1" applyBorder="1" applyFont="1" applyNumberFormat="1">
      <alignment horizontal="left" vertical="top"/>
    </xf>
    <xf borderId="1" fillId="0" fontId="1" numFmtId="4" xfId="0" applyAlignment="1" applyBorder="1" applyFont="1" applyNumberFormat="1">
      <alignment horizontal="left" vertical="top"/>
    </xf>
    <xf borderId="0" fillId="0" fontId="3" numFmtId="0" xfId="0" applyAlignment="1" applyFont="1">
      <alignment horizontal="center" readingOrder="0"/>
    </xf>
    <xf borderId="1" fillId="0" fontId="4" numFmtId="0" xfId="0" applyAlignment="1" applyBorder="1" applyFont="1">
      <alignment readingOrder="0" vertical="bottom"/>
    </xf>
    <xf borderId="1" fillId="0" fontId="4" numFmtId="3" xfId="0" applyAlignment="1" applyBorder="1" applyFont="1" applyNumberFormat="1">
      <alignment horizontal="right" readingOrder="0" vertical="bottom"/>
    </xf>
    <xf borderId="1" fillId="0" fontId="4" numFmtId="4" xfId="0" applyAlignment="1" applyBorder="1" applyFont="1" applyNumberFormat="1">
      <alignment horizontal="right" readingOrder="0" vertical="bottom"/>
    </xf>
    <xf borderId="0" fillId="0" fontId="3" numFmtId="164" xfId="0" applyAlignment="1" applyFont="1" applyNumberFormat="1">
      <alignment horizontal="center" readingOrder="0"/>
    </xf>
    <xf borderId="0" fillId="0" fontId="3" numFmtId="0" xfId="0" applyAlignment="1" applyFont="1">
      <alignment readingOrder="0"/>
    </xf>
    <xf borderId="0" fillId="0" fontId="5" numFmtId="0" xfId="0" applyAlignment="1" applyFont="1">
      <alignment readingOrder="0"/>
    </xf>
    <xf borderId="1" fillId="0" fontId="3" numFmtId="3" xfId="0" applyAlignment="1" applyBorder="1" applyFont="1" applyNumberFormat="1">
      <alignment readingOrder="0"/>
    </xf>
    <xf borderId="0" fillId="3" fontId="6" numFmtId="0" xfId="0" applyAlignment="1" applyFill="1" applyFont="1">
      <alignment readingOrder="0"/>
    </xf>
    <xf borderId="0" fillId="4" fontId="6" numFmtId="0" xfId="0" applyAlignment="1" applyFill="1" applyFont="1">
      <alignment readingOrder="0"/>
    </xf>
    <xf borderId="0" fillId="5" fontId="7" numFmtId="0" xfId="0" applyAlignment="1" applyFill="1" applyFont="1">
      <alignment readingOrder="0" shrinkToFit="0" wrapText="0"/>
    </xf>
    <xf borderId="0" fillId="5" fontId="8" numFmtId="0" xfId="0" applyAlignment="1" applyFont="1">
      <alignment readingOrder="0" shrinkToFit="0" wrapText="0"/>
    </xf>
    <xf borderId="0" fillId="4" fontId="9" numFmtId="0" xfId="0" applyAlignment="1" applyFont="1">
      <alignment readingOrder="0"/>
    </xf>
    <xf borderId="1" fillId="0" fontId="10" numFmtId="0" xfId="0" applyAlignment="1" applyBorder="1" applyFont="1">
      <alignment readingOrder="0"/>
    </xf>
    <xf borderId="0" fillId="0" fontId="3" numFmtId="0" xfId="0" applyAlignment="1" applyFont="1">
      <alignment horizontal="center"/>
    </xf>
    <xf borderId="1" fillId="0" fontId="11" numFmtId="0" xfId="0" applyAlignment="1" applyBorder="1" applyFont="1">
      <alignment readingOrder="0"/>
    </xf>
    <xf borderId="1" fillId="0" fontId="4" numFmtId="3" xfId="0" applyAlignment="1" applyBorder="1" applyFont="1" applyNumberFormat="1">
      <alignment readingOrder="0" vertical="bottom"/>
    </xf>
    <xf borderId="1" fillId="0" fontId="11" numFmtId="3" xfId="0" applyBorder="1" applyFont="1" applyNumberFormat="1"/>
    <xf borderId="1" fillId="0" fontId="4" numFmtId="0" xfId="0" applyAlignment="1" applyBorder="1" applyFont="1">
      <alignment vertical="bottom"/>
    </xf>
    <xf borderId="1" fillId="0" fontId="12" numFmtId="0" xfId="0" applyAlignment="1" applyBorder="1" applyFont="1">
      <alignment readingOrder="0"/>
    </xf>
    <xf borderId="1" fillId="0" fontId="13" numFmtId="0" xfId="0" applyAlignment="1" applyBorder="1" applyFont="1">
      <alignment readingOrder="0"/>
    </xf>
    <xf borderId="1" fillId="0" fontId="14" numFmtId="0" xfId="0" applyAlignment="1" applyBorder="1" applyFont="1">
      <alignment readingOrder="0"/>
    </xf>
    <xf borderId="1" fillId="0" fontId="3" numFmtId="3" xfId="0" applyBorder="1" applyFont="1" applyNumberFormat="1"/>
    <xf borderId="0" fillId="0" fontId="3" numFmtId="165" xfId="0" applyAlignment="1" applyFont="1" applyNumberFormat="1">
      <alignment horizontal="center" readingOrder="0"/>
    </xf>
    <xf borderId="1" fillId="0" fontId="3" numFmtId="4" xfId="0" applyBorder="1" applyFont="1" applyNumberFormat="1"/>
    <xf borderId="0" fillId="6" fontId="2" numFmtId="0" xfId="0" applyAlignment="1" applyFill="1" applyFont="1">
      <alignment readingOrder="0"/>
    </xf>
    <xf borderId="0" fillId="0" fontId="2" numFmtId="0" xfId="0" applyFont="1"/>
    <xf borderId="0" fillId="0" fontId="3" numFmtId="0" xfId="0" applyFont="1"/>
    <xf borderId="0" fillId="0" fontId="3" numFmtId="10" xfId="0" applyFont="1" applyNumberFormat="1"/>
    <xf borderId="0" fillId="0" fontId="3" numFmtId="4" xfId="0" applyFont="1" applyNumberFormat="1"/>
    <xf borderId="0" fillId="0" fontId="3" numFmtId="166" xfId="0" applyFont="1" applyNumberFormat="1"/>
    <xf borderId="0" fillId="0" fontId="3" numFmtId="1" xfId="0" applyFont="1" applyNumberFormat="1"/>
    <xf borderId="0" fillId="0" fontId="3" numFmtId="3" xfId="0" applyFont="1" applyNumberFormat="1"/>
    <xf borderId="0" fillId="0" fontId="3" numFmtId="2" xfId="0" applyFont="1" applyNumberFormat="1"/>
    <xf borderId="1" fillId="0" fontId="2" numFmtId="0" xfId="0" applyAlignment="1" applyBorder="1" applyFont="1">
      <alignment readingOrder="0"/>
    </xf>
    <xf borderId="1" fillId="0" fontId="2" numFmtId="0" xfId="0" applyAlignment="1" applyBorder="1" applyFont="1">
      <alignment horizontal="center" readingOrder="0"/>
    </xf>
    <xf borderId="1" fillId="7" fontId="3" numFmtId="0" xfId="0" applyAlignment="1" applyBorder="1" applyFill="1" applyFont="1">
      <alignment readingOrder="0"/>
    </xf>
    <xf borderId="1" fillId="7" fontId="3" numFmtId="0" xfId="0" applyBorder="1" applyFont="1"/>
    <xf borderId="2" fillId="2" fontId="1" numFmtId="0" xfId="0" applyBorder="1" applyFont="1"/>
    <xf borderId="3" fillId="2" fontId="1" numFmtId="0" xfId="0" applyAlignment="1" applyBorder="1" applyFont="1">
      <alignment horizontal="left" readingOrder="0" vertical="center"/>
    </xf>
    <xf borderId="4" fillId="0" fontId="15" numFmtId="0" xfId="0" applyBorder="1" applyFont="1"/>
    <xf borderId="5" fillId="0" fontId="15" numFmtId="0" xfId="0" applyBorder="1" applyFont="1"/>
    <xf borderId="6" fillId="0" fontId="15" numFmtId="0" xfId="0" applyBorder="1" applyFont="1"/>
    <xf borderId="7" fillId="0" fontId="15" numFmtId="0" xfId="0" applyBorder="1" applyFont="1"/>
    <xf borderId="8" fillId="0" fontId="15" numFmtId="0" xfId="0" applyBorder="1" applyFont="1"/>
    <xf borderId="9" fillId="0" fontId="15" numFmtId="0" xfId="0" applyBorder="1" applyFont="1"/>
    <xf borderId="1" fillId="0" fontId="1" numFmtId="0" xfId="0" applyAlignment="1" applyBorder="1" applyFont="1">
      <alignment horizontal="left" vertical="top"/>
    </xf>
    <xf borderId="1" fillId="0" fontId="1" numFmtId="0" xfId="0" applyAlignment="1" applyBorder="1" applyFont="1">
      <alignment horizontal="left" readingOrder="0" vertical="top"/>
    </xf>
    <xf borderId="1" fillId="0" fontId="4" numFmtId="0" xfId="0" applyAlignment="1" applyBorder="1" applyFont="1">
      <alignment horizontal="right" readingOrder="0" vertical="bottom"/>
    </xf>
    <xf borderId="1" fillId="0" fontId="3" numFmtId="10" xfId="0" applyBorder="1" applyFont="1" applyNumberFormat="1"/>
    <xf borderId="1" fillId="7" fontId="3" numFmtId="4" xfId="0" applyBorder="1" applyFont="1" applyNumberFormat="1"/>
    <xf borderId="1" fillId="0" fontId="3" numFmtId="9" xfId="0" applyBorder="1" applyFont="1" applyNumberFormat="1"/>
    <xf borderId="1" fillId="8" fontId="3" numFmtId="1" xfId="0" applyAlignment="1" applyBorder="1" applyFill="1" applyFont="1" applyNumberFormat="1">
      <alignment readingOrder="0"/>
    </xf>
    <xf borderId="0" fillId="0" fontId="2" numFmtId="0" xfId="0" applyAlignment="1" applyFont="1">
      <alignment horizontal="center" readingOrder="0"/>
    </xf>
    <xf borderId="0" fillId="0" fontId="4" numFmtId="0" xfId="0" applyAlignment="1" applyFont="1">
      <alignment readingOrder="0" shrinkToFit="0" vertical="bottom" wrapText="1"/>
    </xf>
    <xf borderId="0" fillId="0" fontId="3" numFmtId="0" xfId="0" applyAlignment="1" applyFont="1">
      <alignment readingOrder="0" shrinkToFit="0" wrapText="1"/>
    </xf>
    <xf borderId="1" fillId="2" fontId="3" numFmtId="0" xfId="0" applyAlignment="1" applyBorder="1" applyFont="1">
      <alignment readingOrder="0"/>
    </xf>
    <xf borderId="10" fillId="0" fontId="2" numFmtId="0" xfId="0" applyAlignment="1" applyBorder="1" applyFont="1">
      <alignment horizontal="center" readingOrder="0"/>
    </xf>
    <xf borderId="11" fillId="0" fontId="15" numFmtId="0" xfId="0" applyBorder="1" applyFont="1"/>
    <xf borderId="12" fillId="0" fontId="15" numFmtId="0" xfId="0" applyBorder="1" applyFont="1"/>
    <xf borderId="0" fillId="0" fontId="2" numFmtId="0" xfId="0" applyAlignment="1" applyFont="1">
      <alignment readingOrder="0"/>
    </xf>
    <xf borderId="0" fillId="0" fontId="3" numFmtId="167" xfId="0" applyFont="1" applyNumberFormat="1"/>
    <xf borderId="1" fillId="9" fontId="2" numFmtId="0" xfId="0" applyAlignment="1" applyBorder="1" applyFill="1" applyFont="1">
      <alignment readingOrder="0"/>
    </xf>
    <xf borderId="1" fillId="0" fontId="3" numFmtId="1" xfId="0" applyBorder="1" applyFont="1" applyNumberFormat="1"/>
    <xf borderId="1" fillId="0" fontId="3" numFmtId="1" xfId="0" applyAlignment="1" applyBorder="1" applyFont="1" applyNumberFormat="1">
      <alignment horizontal="center" readingOrder="0"/>
    </xf>
    <xf borderId="1" fillId="0" fontId="3" numFmtId="4" xfId="0" applyAlignment="1" applyBorder="1" applyFont="1" applyNumberFormat="1">
      <alignment horizontal="center" readingOrder="0"/>
    </xf>
    <xf borderId="1" fillId="0" fontId="3" numFmtId="2" xfId="0" applyAlignment="1" applyBorder="1" applyFont="1" applyNumberFormat="1">
      <alignment horizontal="center" readingOrder="0"/>
    </xf>
    <xf borderId="1" fillId="0" fontId="3" numFmtId="4" xfId="0" applyAlignment="1" applyBorder="1" applyFont="1" applyNumberFormat="1">
      <alignment horizontal="center"/>
    </xf>
    <xf borderId="0" fillId="7" fontId="3" numFmtId="0" xfId="0" applyAlignment="1" applyFont="1">
      <alignment horizontal="center" readingOrder="0"/>
    </xf>
    <xf borderId="1" fillId="0" fontId="2" numFmtId="1" xfId="0" applyAlignment="1" applyBorder="1" applyFont="1" applyNumberFormat="1">
      <alignment horizontal="center" readingOrder="0"/>
    </xf>
    <xf borderId="2" fillId="0" fontId="3" numFmtId="0" xfId="0" applyBorder="1" applyFont="1"/>
    <xf borderId="13" fillId="0" fontId="15" numFmtId="0" xfId="0" applyBorder="1" applyFont="1"/>
    <xf borderId="1" fillId="0" fontId="3" numFmtId="168" xfId="0" applyAlignment="1" applyBorder="1" applyFont="1" applyNumberFormat="1">
      <alignment horizontal="center" readingOrder="0"/>
    </xf>
    <xf borderId="1" fillId="2" fontId="2" numFmtId="0" xfId="0" applyAlignment="1" applyBorder="1" applyFont="1">
      <alignment readingOrder="0"/>
    </xf>
    <xf borderId="1" fillId="0" fontId="3" numFmtId="167" xfId="0" applyBorder="1" applyFont="1" applyNumberFormat="1"/>
    <xf borderId="1" fillId="0" fontId="3" numFmtId="167" xfId="0" applyAlignment="1" applyBorder="1" applyFont="1" applyNumberFormat="1">
      <alignment readingOrder="0"/>
    </xf>
    <xf borderId="1" fillId="0" fontId="3" numFmtId="166" xfId="0" applyBorder="1" applyFont="1" applyNumberFormat="1"/>
    <xf borderId="1" fillId="7" fontId="2" numFmtId="0" xfId="0" applyAlignment="1" applyBorder="1" applyFont="1">
      <alignment readingOrder="0"/>
    </xf>
    <xf borderId="0" fillId="0" fontId="3" numFmtId="167" xfId="0" applyAlignment="1" applyFont="1" applyNumberFormat="1">
      <alignment readingOrder="0"/>
    </xf>
    <xf borderId="0" fillId="0" fontId="3" numFmtId="166" xfId="0" applyAlignment="1" applyFont="1" applyNumberFormat="1">
      <alignment readingOrder="0"/>
    </xf>
    <xf borderId="1" fillId="0" fontId="4" numFmtId="0" xfId="0" applyAlignment="1" applyBorder="1" applyFont="1">
      <alignment horizontal="right" vertical="bottom"/>
    </xf>
    <xf borderId="0" fillId="0" fontId="3" numFmtId="169" xfId="0" applyFont="1" applyNumberFormat="1"/>
    <xf borderId="1" fillId="4" fontId="11" numFmtId="0" xfId="0" applyAlignment="1" applyBorder="1" applyFont="1">
      <alignment readingOrder="0"/>
    </xf>
    <xf borderId="1" fillId="0" fontId="3" numFmtId="166" xfId="0" applyAlignment="1" applyBorder="1" applyFont="1" applyNumberFormat="1">
      <alignment readingOrder="0"/>
    </xf>
    <xf borderId="0" fillId="0" fontId="3" numFmtId="1" xfId="0" applyAlignment="1" applyFont="1" applyNumberFormat="1">
      <alignment horizontal="center" readingOrder="0"/>
    </xf>
    <xf borderId="0" fillId="0" fontId="3" numFmtId="4" xfId="0" applyAlignment="1" applyFont="1" applyNumberFormat="1">
      <alignment horizontal="center" readingOrder="0"/>
    </xf>
    <xf borderId="0" fillId="0" fontId="3" numFmtId="166" xfId="0" applyAlignment="1" applyFont="1" applyNumberFormat="1">
      <alignment horizontal="center" readingOrder="0"/>
    </xf>
    <xf borderId="1" fillId="0" fontId="3" numFmtId="166" xfId="0" applyAlignment="1" applyBorder="1" applyFont="1" applyNumberFormat="1">
      <alignment horizontal="center" readingOrder="0"/>
    </xf>
    <xf borderId="0" fillId="7" fontId="3" numFmtId="1" xfId="0" applyAlignment="1" applyFont="1" applyNumberFormat="1">
      <alignment horizontal="center" readingOrder="0"/>
    </xf>
    <xf borderId="0" fillId="0" fontId="3" numFmtId="2" xfId="0" applyAlignment="1" applyFont="1" applyNumberFormat="1">
      <alignment horizontal="center" readingOrder="0"/>
    </xf>
    <xf borderId="0" fillId="0" fontId="3" numFmtId="166" xfId="0" applyAlignment="1" applyFont="1" applyNumberFormat="1">
      <alignment horizontal="center"/>
    </xf>
    <xf borderId="2" fillId="2" fontId="1" numFmtId="0" xfId="0" applyAlignment="1" applyBorder="1" applyFont="1">
      <alignment horizontal="left" readingOrder="0" vertical="center"/>
    </xf>
    <xf borderId="1" fillId="0" fontId="1" numFmtId="1" xfId="0" applyAlignment="1" applyBorder="1" applyFont="1" applyNumberFormat="1">
      <alignment horizontal="left" readingOrder="0" vertical="top"/>
    </xf>
    <xf borderId="13" fillId="0" fontId="3" numFmtId="0" xfId="0" applyBorder="1" applyFont="1"/>
    <xf borderId="1" fillId="10" fontId="3" numFmtId="0" xfId="0" applyAlignment="1" applyBorder="1" applyFill="1" applyFont="1">
      <alignment readingOrder="0"/>
    </xf>
    <xf borderId="1" fillId="7" fontId="3" numFmtId="2" xfId="0" applyBorder="1" applyFont="1" applyNumberFormat="1"/>
    <xf borderId="1" fillId="0" fontId="3" numFmtId="2" xfId="0" applyAlignment="1" applyBorder="1" applyFont="1" applyNumberFormat="1">
      <alignment readingOrder="0"/>
    </xf>
    <xf borderId="1" fillId="0" fontId="3" numFmtId="0" xfId="0" applyAlignment="1" applyBorder="1" applyFont="1">
      <alignment horizontal="center" readingOrder="0"/>
    </xf>
    <xf borderId="1" fillId="10" fontId="3" numFmtId="1" xfId="0" applyAlignment="1" applyBorder="1" applyFont="1" applyNumberFormat="1">
      <alignment readingOrder="0"/>
    </xf>
    <xf borderId="1" fillId="11" fontId="2" numFmtId="0" xfId="0" applyAlignment="1" applyBorder="1" applyFill="1" applyFont="1">
      <alignment readingOrder="0"/>
    </xf>
    <xf borderId="1" fillId="7" fontId="3" numFmtId="1" xfId="0" applyAlignment="1" applyBorder="1" applyFont="1" applyNumberFormat="1">
      <alignment readingOrder="0"/>
    </xf>
    <xf borderId="1" fillId="0" fontId="3" numFmtId="4" xfId="0" applyAlignment="1" applyBorder="1" applyFont="1" applyNumberFormat="1">
      <alignment readingOrder="0"/>
    </xf>
    <xf borderId="0" fillId="0" fontId="3" numFmtId="0" xfId="0" applyAlignment="1" applyFont="1">
      <alignment horizontal="center" readingOrder="0" shrinkToFit="0" wrapText="1"/>
    </xf>
    <xf borderId="1" fillId="4" fontId="3" numFmtId="4" xfId="0" applyBorder="1" applyFont="1" applyNumberFormat="1"/>
    <xf borderId="0" fillId="7" fontId="3" numFmtId="166" xfId="0" applyAlignment="1" applyFont="1" applyNumberFormat="1">
      <alignment horizontal="center"/>
    </xf>
    <xf borderId="1" fillId="6" fontId="3" numFmtId="0" xfId="0" applyBorder="1" applyFont="1"/>
    <xf borderId="1" fillId="6" fontId="3" numFmtId="1" xfId="0" applyAlignment="1" applyBorder="1" applyFont="1" applyNumberFormat="1">
      <alignment horizontal="center" readingOrder="0"/>
    </xf>
    <xf borderId="1" fillId="7" fontId="3" numFmtId="166" xfId="0" applyAlignment="1" applyBorder="1" applyFont="1" applyNumberFormat="1">
      <alignment horizontal="center"/>
    </xf>
    <xf borderId="0" fillId="0" fontId="3" numFmtId="10" xfId="0" applyAlignment="1" applyFont="1" applyNumberFormat="1">
      <alignment readingOrder="0"/>
    </xf>
    <xf borderId="1" fillId="7" fontId="3" numFmtId="1" xfId="0" applyBorder="1" applyFont="1" applyNumberFormat="1"/>
    <xf borderId="1" fillId="0" fontId="3" numFmtId="1" xfId="0" applyAlignment="1" applyBorder="1" applyFont="1" applyNumberFormat="1">
      <alignment readingOrder="0"/>
    </xf>
    <xf borderId="1" fillId="4" fontId="3" numFmtId="0" xfId="0" applyAlignment="1" applyBorder="1" applyFont="1">
      <alignment readingOrder="0"/>
    </xf>
    <xf borderId="1" fillId="10" fontId="3" numFmtId="10" xfId="0" applyAlignment="1" applyBorder="1" applyFont="1" applyNumberFormat="1">
      <alignment readingOrder="0"/>
    </xf>
    <xf borderId="1" fillId="10" fontId="3" numFmtId="167" xfId="0" applyAlignment="1" applyBorder="1" applyFont="1" applyNumberFormat="1">
      <alignment readingOrder="0"/>
    </xf>
    <xf borderId="0" fillId="7" fontId="3" numFmtId="0" xfId="0" applyFont="1"/>
    <xf borderId="0" fillId="12" fontId="3" numFmtId="0" xfId="0" applyAlignment="1" applyFill="1" applyFont="1">
      <alignment horizontal="center" readingOrder="0"/>
    </xf>
    <xf borderId="6" fillId="0" fontId="3" numFmtId="0" xfId="0" applyBorder="1" applyFont="1"/>
    <xf borderId="1" fillId="0" fontId="3" numFmtId="166" xfId="0" applyAlignment="1" applyBorder="1" applyFont="1" applyNumberFormat="1">
      <alignment horizontal="center"/>
    </xf>
    <xf quotePrefix="1" borderId="1" fillId="0" fontId="3" numFmtId="0" xfId="0" applyAlignment="1" applyBorder="1" applyFont="1">
      <alignment readingOrder="0"/>
    </xf>
    <xf borderId="0" fillId="0" fontId="3" numFmtId="4" xfId="0" applyAlignment="1" applyFont="1" applyNumberFormat="1">
      <alignment horizontal="center"/>
    </xf>
    <xf borderId="1" fillId="8" fontId="3" numFmtId="0" xfId="0" applyAlignment="1" applyBorder="1" applyFont="1">
      <alignment readingOrder="0"/>
    </xf>
    <xf borderId="1" fillId="0" fontId="3" numFmtId="168" xfId="0" applyBorder="1" applyFont="1" applyNumberFormat="1"/>
    <xf borderId="1" fillId="13" fontId="3" numFmtId="168" xfId="0" applyBorder="1" applyFill="1" applyFont="1" applyNumberFormat="1"/>
    <xf borderId="1" fillId="0" fontId="1" numFmtId="3" xfId="0" applyAlignment="1" applyBorder="1" applyFont="1" applyNumberFormat="1">
      <alignment horizontal="left" readingOrder="0" vertical="top"/>
    </xf>
    <xf borderId="1" fillId="0" fontId="1" numFmtId="166" xfId="0" applyAlignment="1" applyBorder="1" applyFont="1" applyNumberFormat="1">
      <alignment horizontal="left" readingOrder="0" vertical="top"/>
    </xf>
    <xf quotePrefix="1" borderId="1" fillId="0" fontId="11" numFmtId="0" xfId="0" applyAlignment="1" applyBorder="1" applyFont="1">
      <alignment readingOrder="0"/>
    </xf>
    <xf borderId="1" fillId="0" fontId="3" numFmtId="168" xfId="0" applyAlignment="1" applyBorder="1" applyFont="1" applyNumberFormat="1">
      <alignment horizontal="right" readingOrder="0"/>
    </xf>
    <xf borderId="1" fillId="7" fontId="3" numFmtId="9" xfId="0" applyBorder="1" applyFont="1" applyNumberFormat="1"/>
    <xf borderId="0" fillId="0" fontId="3" numFmtId="0" xfId="0" applyAlignment="1" applyFont="1">
      <alignment horizontal="left" readingOrder="0" shrinkToFit="0" wrapText="1"/>
    </xf>
    <xf borderId="0" fillId="0" fontId="3" numFmtId="3" xfId="0" applyAlignment="1" applyFont="1" applyNumberFormat="1">
      <alignment readingOrder="0"/>
    </xf>
    <xf borderId="1" fillId="7" fontId="3" numFmtId="168" xfId="0" applyBorder="1" applyFont="1" applyNumberFormat="1"/>
    <xf borderId="1" fillId="0" fontId="4" numFmtId="0" xfId="0" applyAlignment="1" applyBorder="1" applyFont="1">
      <alignment vertical="bottom"/>
    </xf>
    <xf borderId="1" fillId="0" fontId="3" numFmtId="170" xfId="0" applyBorder="1" applyFont="1" applyNumberFormat="1"/>
    <xf borderId="3" fillId="2" fontId="1" numFmtId="0" xfId="0" applyAlignment="1" applyBorder="1" applyFont="1">
      <alignment horizontal="center" readingOrder="0" vertical="center"/>
    </xf>
    <xf borderId="1" fillId="10" fontId="3" numFmtId="166" xfId="0" applyBorder="1" applyFont="1" applyNumberFormat="1"/>
    <xf borderId="1" fillId="7" fontId="3" numFmtId="170" xfId="0" applyBorder="1" applyFont="1" applyNumberFormat="1"/>
    <xf borderId="1" fillId="0" fontId="4" numFmtId="2" xfId="0" applyAlignment="1" applyBorder="1" applyFont="1" applyNumberFormat="1">
      <alignment horizontal="right" vertical="bottom"/>
    </xf>
    <xf borderId="1" fillId="0" fontId="4" numFmtId="4" xfId="0" applyAlignment="1" applyBorder="1" applyFont="1" applyNumberFormat="1">
      <alignment horizontal="right" vertical="bottom"/>
    </xf>
    <xf borderId="1" fillId="14" fontId="4" numFmtId="10" xfId="0" applyAlignment="1" applyBorder="1" applyFill="1" applyFont="1" applyNumberFormat="1">
      <alignment horizontal="right" vertical="bottom"/>
    </xf>
    <xf borderId="0" fillId="0" fontId="4" numFmtId="0" xfId="0" applyAlignment="1" applyFont="1">
      <alignment vertical="bottom"/>
    </xf>
    <xf borderId="0" fillId="0" fontId="16" numFmtId="0" xfId="0" applyAlignment="1" applyFont="1">
      <alignment readingOrder="0" shrinkToFit="0" vertical="top" wrapText="1"/>
    </xf>
    <xf borderId="1" fillId="0" fontId="4" numFmtId="3" xfId="0" applyAlignment="1" applyBorder="1" applyFont="1" applyNumberFormat="1">
      <alignment horizontal="right" vertical="bottom"/>
    </xf>
    <xf borderId="1" fillId="0" fontId="4" numFmtId="3" xfId="0" applyAlignment="1" applyBorder="1" applyFont="1" applyNumberFormat="1">
      <alignment vertical="bottom"/>
    </xf>
    <xf borderId="1" fillId="0" fontId="2" numFmtId="0" xfId="0" applyBorder="1" applyFont="1"/>
    <xf borderId="1" fillId="0" fontId="2" numFmtId="168" xfId="0" applyAlignment="1" applyBorder="1" applyFont="1" applyNumberFormat="1">
      <alignment horizontal="center" readingOrder="0"/>
    </xf>
    <xf borderId="1" fillId="0" fontId="2" numFmtId="3" xfId="0" applyBorder="1" applyFont="1" applyNumberFormat="1"/>
    <xf borderId="1" fillId="0" fontId="2" numFmtId="168" xfId="0" applyAlignment="1" applyBorder="1" applyFont="1" applyNumberFormat="1">
      <alignment horizontal="right" readingOrder="0"/>
    </xf>
    <xf borderId="1" fillId="7" fontId="2" numFmtId="4" xfId="0" applyBorder="1" applyFont="1" applyNumberFormat="1"/>
    <xf borderId="1" fillId="7" fontId="2" numFmtId="9" xfId="0" applyBorder="1" applyFont="1" applyNumberFormat="1"/>
    <xf borderId="1" fillId="10" fontId="2" numFmtId="3" xfId="0" applyBorder="1" applyFont="1" applyNumberFormat="1"/>
    <xf borderId="1" fillId="10" fontId="3" numFmtId="3" xfId="0" applyBorder="1" applyFont="1" applyNumberFormat="1"/>
    <xf borderId="0" fillId="0" fontId="3" numFmtId="168" xfId="0" applyFont="1" applyNumberFormat="1"/>
    <xf borderId="1" fillId="10" fontId="3" numFmtId="0" xfId="0" applyBorder="1" applyFont="1"/>
    <xf borderId="1" fillId="0" fontId="1" numFmtId="168" xfId="0" applyAlignment="1" applyBorder="1" applyFont="1" applyNumberFormat="1">
      <alignment horizontal="left" readingOrder="0" vertical="top"/>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71" Type="http://customschemas.google.com/relationships/workbookmetadata" Target="metadata"/><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wildberries.ru/catalog/258223891/detail.aspx" TargetMode="External"/><Relationship Id="rId20" Type="http://schemas.openxmlformats.org/officeDocument/2006/relationships/hyperlink" Target="https://arosa.ru" TargetMode="External"/><Relationship Id="rId42" Type="http://schemas.openxmlformats.org/officeDocument/2006/relationships/hyperlink" Target="https://gurman-llc.ru/catalog/syry/syr_suluguni_starodub_kopchyenyy_45_krug_800_gr/" TargetMode="External"/><Relationship Id="rId41" Type="http://schemas.openxmlformats.org/officeDocument/2006/relationships/hyperlink" Target="https://www.ozon.ru/product/kardamon-molotyy-100-g-1849597845/?at=OgtEmzDNzuRK9R0RiNxw3nBiWB6KX0Iv7ygvrTqvEPqG" TargetMode="External"/><Relationship Id="rId22" Type="http://schemas.openxmlformats.org/officeDocument/2006/relationships/hyperlink" Target="https://rosinterfood.ru" TargetMode="External"/><Relationship Id="rId44" Type="http://schemas.openxmlformats.org/officeDocument/2006/relationships/hyperlink" Target="https://country-shop.ru/katalog/products/food_beverages/salep-casvaa-250-gr" TargetMode="External"/><Relationship Id="rId21" Type="http://schemas.openxmlformats.org/officeDocument/2006/relationships/hyperlink" Target="https://vkusvill.ru/b2b" TargetMode="External"/><Relationship Id="rId43" Type="http://schemas.openxmlformats.org/officeDocument/2006/relationships/hyperlink" Target="https://vavilon5.github.io/assets/html/ayran.html" TargetMode="External"/><Relationship Id="rId24" Type="http://schemas.openxmlformats.org/officeDocument/2006/relationships/hyperlink" Target="https://ice-m.com" TargetMode="External"/><Relationship Id="rId23" Type="http://schemas.openxmlformats.org/officeDocument/2006/relationships/hyperlink" Target="https://azbuka-produktov.ru" TargetMode="External"/><Relationship Id="rId45" Type="http://schemas.openxmlformats.org/officeDocument/2006/relationships/drawing" Target="../drawings/drawing2.xml"/><Relationship Id="rId1" Type="http://schemas.openxmlformats.org/officeDocument/2006/relationships/hyperlink" Target="https://b2b.lenta.com" TargetMode="External"/><Relationship Id="rId2" Type="http://schemas.openxmlformats.org/officeDocument/2006/relationships/hyperlink" Target="https://psk-pro.ru" TargetMode="External"/><Relationship Id="rId3" Type="http://schemas.openxmlformats.org/officeDocument/2006/relationships/hyperlink" Target="https://napolke.ru" TargetMode="External"/><Relationship Id="rId4" Type="http://schemas.openxmlformats.org/officeDocument/2006/relationships/hyperlink" Target="https://www.ventsistema.ru/uslugi/proektirovanie-system-ventilyacii-restoran-kafe" TargetMode="External"/><Relationship Id="rId9" Type="http://schemas.openxmlformats.org/officeDocument/2006/relationships/hyperlink" Target="https://psk-pro.ru" TargetMode="External"/><Relationship Id="rId26" Type="http://schemas.openxmlformats.org/officeDocument/2006/relationships/hyperlink" Target="https://opttorg-horeca.ru" TargetMode="External"/><Relationship Id="rId25" Type="http://schemas.openxmlformats.org/officeDocument/2006/relationships/hyperlink" Target="https://swlife.ru" TargetMode="External"/><Relationship Id="rId28" Type="http://schemas.openxmlformats.org/officeDocument/2006/relationships/hyperlink" Target="https://grossfood.ru" TargetMode="External"/><Relationship Id="rId27" Type="http://schemas.openxmlformats.org/officeDocument/2006/relationships/hyperlink" Target="https://fydopt.ru" TargetMode="External"/><Relationship Id="rId5" Type="http://schemas.openxmlformats.org/officeDocument/2006/relationships/hyperlink" Target="http://www.ews.ru/" TargetMode="External"/><Relationship Id="rId6" Type="http://schemas.openxmlformats.org/officeDocument/2006/relationships/hyperlink" Target="mailto:callcenter@ews.ru" TargetMode="External"/><Relationship Id="rId29" Type="http://schemas.openxmlformats.org/officeDocument/2006/relationships/hyperlink" Target="https://moslavash.ru" TargetMode="External"/><Relationship Id="rId7" Type="http://schemas.openxmlformats.org/officeDocument/2006/relationships/hyperlink" Target="https://ceds.ru/inzhenernye-sistemy/ventilyatsiya/ventilyatsiya-restoranov-kafe-i-barov" TargetMode="External"/><Relationship Id="rId8" Type="http://schemas.openxmlformats.org/officeDocument/2006/relationships/hyperlink" Target="https://www.abri-kos.ru" TargetMode="External"/><Relationship Id="rId31" Type="http://schemas.openxmlformats.org/officeDocument/2006/relationships/hyperlink" Target="https://fk-frutcity.ru" TargetMode="External"/><Relationship Id="rId30" Type="http://schemas.openxmlformats.org/officeDocument/2006/relationships/hyperlink" Target="https://food-fresh.ru" TargetMode="External"/><Relationship Id="rId11" Type="http://schemas.openxmlformats.org/officeDocument/2006/relationships/hyperlink" Target="https://ventell.ru/ventilyatsiya-pomescheniy/ventilyatsiya-obschepita" TargetMode="External"/><Relationship Id="rId33" Type="http://schemas.openxmlformats.org/officeDocument/2006/relationships/hyperlink" Target="https://severupack.ru" TargetMode="External"/><Relationship Id="rId10" Type="http://schemas.openxmlformats.org/officeDocument/2006/relationships/hyperlink" Target="https://marr.ru" TargetMode="External"/><Relationship Id="rId32" Type="http://schemas.openxmlformats.org/officeDocument/2006/relationships/hyperlink" Target="https://1ea.ru" TargetMode="External"/><Relationship Id="rId13" Type="http://schemas.openxmlformats.org/officeDocument/2006/relationships/hyperlink" Target="https://regul-vent.ru/page/montazh-ventilyatsii-dlya-predpriyatiy-obschestvennogo-pitaniya" TargetMode="External"/><Relationship Id="rId35" Type="http://schemas.openxmlformats.org/officeDocument/2006/relationships/hyperlink" Target="https://turkish-food.ru/tureckie-syry/ajran-tureckij-500ml" TargetMode="External"/><Relationship Id="rId12" Type="http://schemas.openxmlformats.org/officeDocument/2006/relationships/hyperlink" Target="https://gfc-russia.ru/?version=2" TargetMode="External"/><Relationship Id="rId34" Type="http://schemas.openxmlformats.org/officeDocument/2006/relationships/hyperlink" Target="https://www.ozon.ru/product/marinovannyy-ostryy-pertsy-yakan-5000gr-381722777/?at=GRt2NM59jiOAKD6nHm2xxmKiXl6rjNC9qW47OcKvBkm&amp;from_sku=378685255&amp;oos_search=false" TargetMode="External"/><Relationship Id="rId15" Type="http://schemas.openxmlformats.org/officeDocument/2006/relationships/hyperlink" Target="https://mosecoclean.ru/montazh-ventilyatsii-v-restorane" TargetMode="External"/><Relationship Id="rId37" Type="http://schemas.openxmlformats.org/officeDocument/2006/relationships/hyperlink" Target="https://www.wildberries.ru/catalog/60096729/detail.aspx" TargetMode="External"/><Relationship Id="rId14" Type="http://schemas.openxmlformats.org/officeDocument/2006/relationships/hyperlink" Target="https://cherri.msk.ru" TargetMode="External"/><Relationship Id="rId36" Type="http://schemas.openxmlformats.org/officeDocument/2006/relationships/hyperlink" Target="https://www.ozon.ru/product/sirop-spoom-med-1-l-dlya-kofe-kokteyley-i-desertov-191360543/?utm_medium=organic&amp;utm_referrer=https%3A%2F%2Fyandex.ru%2Fproducts%2Fsearch%3Ftext%3D%25D0%25BC%25D0%25B5%25D0%25B4%25D0%25BE%25D0%25B2%25D1%258B%25D0%25B9%2520%25D1%2581%25D0%25B8%25D1%2580%25D0%25BE%25D0%25BF%2520%25D0%25B4%25D0%25BB%25D1%258F%2520%25D0%25BA%25D0%25BE%25D0%25BA%25D1%2582%25D0%25B5%25D0%25B9%25D0%25BB%25D0%25B5%25D0%25B9&amp;utm_source=yandex_serp_products" TargetMode="External"/><Relationship Id="rId17" Type="http://schemas.openxmlformats.org/officeDocument/2006/relationships/hyperlink" Target="https://pskaksioma.ru/ventilyacziya-restoranov-kafe-i-barov" TargetMode="External"/><Relationship Id="rId39" Type="http://schemas.openxmlformats.org/officeDocument/2006/relationships/hyperlink" Target="https://turkish-food.ru/tureckoe-kofe-kurukahveci-mehmet-efendi-500-gr?search=%D0%BA%D0%BE%D1%84%D0%B5" TargetMode="External"/><Relationship Id="rId16" Type="http://schemas.openxmlformats.org/officeDocument/2006/relationships/hyperlink" Target="https://beriozkafood.ru" TargetMode="External"/><Relationship Id="rId38" Type="http://schemas.openxmlformats.org/officeDocument/2006/relationships/hyperlink" Target="https://www.ozon.ru/product/voda-gazirovannaya-kalinov-rodnik-mineralnaya-2-l-140030729/?utm_referrer=https%3A%2F%2Fyandex.ru%2Fproducts%2Fsearch%3Ftext%3D%25D0%2592%25D0%25BE%25D0%25B4%25D0%25B0%2520%25D0%25B3%25D0%25B0%25D0%25B7%25D0%25B8%25D1%2580%25D0%25BE%25D0%25B2%25D0%25B0%25D0%25BD%25D0%25BD%25D0%25B0%25D1%258F%25202%25D0%25BB" TargetMode="External"/><Relationship Id="rId19" Type="http://schemas.openxmlformats.org/officeDocument/2006/relationships/hyperlink" Target="https://www.avito.ru/moskva/predlozheniya_uslug/proektirovanie_i_montazh_sistem_ventilyatsii_2244962269?context=H4sIAAAAAAAA_wE_AMD_YToyOntzOjEzOiJsb2NhbFByaW9yaXR5IjtiOjE7czoxOiJ4IjtzOjE2OiJxbVh4cVBqYVhjbjdldnVMIjt9U6a5OT8AAAA" TargetMode="External"/><Relationship Id="rId18" Type="http://schemas.openxmlformats.org/officeDocument/2006/relationships/hyperlink" Target="https://fudstori.r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4.xml"/><Relationship Id="rId3"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8.57"/>
    <col customWidth="1" min="2" max="2" width="11.0"/>
    <col customWidth="1" min="3" max="3" width="18.0"/>
    <col customWidth="1" min="4" max="5" width="16.43"/>
    <col customWidth="1" min="6" max="24" width="8.71"/>
  </cols>
  <sheetData>
    <row r="1">
      <c r="A1" s="1" t="s">
        <v>0</v>
      </c>
      <c r="B1" s="2" t="s">
        <v>1</v>
      </c>
      <c r="C1" s="3" t="s">
        <v>2</v>
      </c>
      <c r="D1" s="2" t="s">
        <v>3</v>
      </c>
      <c r="E1" s="2" t="s">
        <v>4</v>
      </c>
    </row>
    <row r="2">
      <c r="A2" s="4" t="s">
        <v>5</v>
      </c>
      <c r="B2" s="4" t="s">
        <v>6</v>
      </c>
      <c r="C2" s="5">
        <f>IFERROR(__xludf.DUMMYFUNCTION("IFERROR(
    FILTER(
        'Матрица поставщиков'!E:E,
        'Матрица поставщиков'!A:A = A2,
        'Матрица поставщиков'!B:B = C1
    ),
    0
)
"),0.0)</f>
        <v>0</v>
      </c>
      <c r="D2" s="5">
        <f>IFERROR(__xludf.DUMMYFUNCTION("IFERROR(
    FILTER(
        'Матрица поставщиков'!E:E,
        'Матрица поставщиков'!A:A = A2,
        'Матрица поставщиков'!B:B = D1
    ),
    0
)
"),0.0)</f>
        <v>0</v>
      </c>
      <c r="E2" s="5">
        <f>IFERROR(__xludf.DUMMYFUNCTION("IFERROR(
    FILTER(
        'Матрица поставщиков'!E:E,
        'Матрица поставщиков'!A:A = A2,
        'Матрица поставщиков'!B:B = E1
    ),
    0
)
"),0.0)</f>
        <v>0</v>
      </c>
    </row>
    <row r="3">
      <c r="A3" s="4" t="s">
        <v>7</v>
      </c>
      <c r="B3" s="4" t="s">
        <v>6</v>
      </c>
      <c r="C3" s="5">
        <f>IFERROR(__xludf.DUMMYFUNCTION("IFERROR(
    FILTER(
        'Матрица поставщиков'!E:E,
        'Матрица поставщиков'!A:A = A3,
        'Матрица поставщиков'!B:B = C1
    ),
    0
)
"),0.0)</f>
        <v>0</v>
      </c>
      <c r="D3" s="5">
        <f>IFERROR(__xludf.DUMMYFUNCTION("IFERROR(
    FILTER(
        'Матрица поставщиков'!E:E,
        'Матрица поставщиков'!A:A = A3,
        'Матрица поставщиков'!B:B = D1
    ),
    0
)
"),0.0)</f>
        <v>0</v>
      </c>
      <c r="E3" s="5">
        <f>IFERROR(__xludf.DUMMYFUNCTION("IFERROR(
    FILTER(
        'Матрица поставщиков'!E:E,
        'Матрица поставщиков'!A:A = A3,
        'Матрица поставщиков'!B:B = E1
    ),
    0
)
"),0.0)</f>
        <v>0</v>
      </c>
    </row>
    <row r="4">
      <c r="A4" s="4" t="s">
        <v>8</v>
      </c>
      <c r="B4" s="4" t="s">
        <v>6</v>
      </c>
      <c r="C4" s="5">
        <f>IFERROR(__xludf.DUMMYFUNCTION("IFERROR(
    FILTER(
        'Матрица поставщиков'!E:E,
        'Матрица поставщиков'!A:A = A4,
        'Матрица поставщиков'!B:B = C1
    ),
    0
)
"),0.0)</f>
        <v>0</v>
      </c>
      <c r="D4" s="5">
        <f>IFERROR(__xludf.DUMMYFUNCTION("IFERROR(
    FILTER(
        'Матрица поставщиков'!E:E,
        'Матрица поставщиков'!A:A = A4,
        'Матрица поставщиков'!B:B = D1
    ),
    0
)
"),0.0)</f>
        <v>0</v>
      </c>
      <c r="E4" s="5">
        <f>IFERROR(__xludf.DUMMYFUNCTION("IFERROR(
    FILTER(
        'Матрица поставщиков'!E:E,
        'Матрица поставщиков'!A:A = A4,
        'Матрица поставщиков'!B:B = E1
    ),
    0
)
"),0.0)</f>
        <v>0</v>
      </c>
    </row>
    <row r="5">
      <c r="A5" s="6" t="s">
        <v>9</v>
      </c>
      <c r="B5" s="4" t="s">
        <v>6</v>
      </c>
      <c r="C5" s="5">
        <f>IFERROR(__xludf.DUMMYFUNCTION("IFERROR(
    FILTER(
        'Матрица поставщиков'!E:E,
        'Матрица поставщиков'!A:A = A5,
        'Матрица поставщиков'!B:B = C1
    ),
    0
)
"),0.0)</f>
        <v>0</v>
      </c>
      <c r="D5" s="5">
        <f>IFERROR(__xludf.DUMMYFUNCTION("IFERROR(
    FILTER(
        'Матрица поставщиков'!E:E,
        'Матрица поставщиков'!A:A = A5,
        'Матрица поставщиков'!B:B = D1
    ),
    0
)
"),0.0)</f>
        <v>0</v>
      </c>
      <c r="E5" s="5">
        <f>IFERROR(__xludf.DUMMYFUNCTION("IFERROR(
    FILTER(
        'Матрица поставщиков'!E:E,
        'Матрица поставщиков'!A:A = A5,
        'Матрица поставщиков'!B:B = E1
    ),
    0
)
"),0.0)</f>
        <v>0</v>
      </c>
    </row>
    <row r="6">
      <c r="A6" s="6" t="s">
        <v>10</v>
      </c>
      <c r="B6" s="4" t="s">
        <v>6</v>
      </c>
      <c r="C6" s="5">
        <f>IFERROR(__xludf.DUMMYFUNCTION("IFERROR(
    FILTER(
        'Матрица поставщиков'!E:E,
        'Матрица поставщиков'!A:A = A6,
        'Матрица поставщиков'!B:B = C1
    ),
    0
)
"),0.0)</f>
        <v>0</v>
      </c>
      <c r="D6" s="5">
        <f>IFERROR(__xludf.DUMMYFUNCTION("IFERROR(
    FILTER(
        'Матрица поставщиков'!E:E,
        'Матрица поставщиков'!A:A = A6,
        'Матрица поставщиков'!B:B = D1
    ),
    0
)
"),0.0)</f>
        <v>0</v>
      </c>
      <c r="E6" s="5">
        <f>IFERROR(__xludf.DUMMYFUNCTION("IFERROR(
    FILTER(
        'Матрица поставщиков'!E:E,
        'Матрица поставщиков'!A:A = A6,
        'Матрица поставщиков'!B:B = E1
    ),
    0
)
"),0.0)</f>
        <v>0</v>
      </c>
    </row>
    <row r="7">
      <c r="A7" s="4" t="s">
        <v>11</v>
      </c>
      <c r="B7" s="4" t="s">
        <v>6</v>
      </c>
      <c r="C7" s="5">
        <f>IFERROR(__xludf.DUMMYFUNCTION("IFERROR(
    FILTER(
        'Матрица поставщиков'!E:E,
        'Матрица поставщиков'!A:A = A7,
        'Матрица поставщиков'!B:B = C1
    ),
    0
)
"),0.0)</f>
        <v>0</v>
      </c>
      <c r="D7" s="5">
        <f>IFERROR(__xludf.DUMMYFUNCTION("IFERROR(
    FILTER(
        'Матрица поставщиков'!E:E,
        'Матрица поставщиков'!A:A = A7,
        'Матрица поставщиков'!B:B = D1
    ),
    0
)
"),0.0)</f>
        <v>0</v>
      </c>
      <c r="E7" s="5">
        <f>IFERROR(__xludf.DUMMYFUNCTION("IFERROR(
    FILTER(
        'Матрица поставщиков'!E:E,
        'Матрица поставщиков'!A:A = A7,
        'Матрица поставщиков'!B:B = E1
    ),
    0
)
"),0.0)</f>
        <v>0</v>
      </c>
    </row>
    <row r="8">
      <c r="A8" s="4" t="str">
        <f>'Матрица поставщиков'!A9</f>
        <v>Лук репчатый</v>
      </c>
      <c r="B8" s="4" t="s">
        <v>12</v>
      </c>
      <c r="C8" s="5">
        <f>IFERROR(__xludf.DUMMYFUNCTION("IFERROR(
    FILTER(
        'Матрица поставщиков'!E:E,
        'Матрица поставщиков'!A:A = A8,
        'Матрица поставщиков'!B:B = C1
    ),
    0
)
"),0.0)</f>
        <v>0</v>
      </c>
      <c r="D8" s="5">
        <f>IFERROR(__xludf.DUMMYFUNCTION("IFERROR(
    FILTER(
        'Матрица поставщиков'!E:E,
        'Матрица поставщиков'!A:A = A8,
        'Матрица поставщиков'!B:B = D1
    ),
    0
)
"),0.0)</f>
        <v>0</v>
      </c>
      <c r="E8" s="5">
        <f>IFERROR(__xludf.DUMMYFUNCTION("IFERROR(
    FILTER(
        'Матрица поставщиков'!E:E,
        'Матрица поставщиков'!A:A = A8,
        'Матрица поставщиков'!B:B = E1
    ),
    0
)
"),0.0)</f>
        <v>0</v>
      </c>
    </row>
    <row r="9">
      <c r="A9" s="4" t="s">
        <v>13</v>
      </c>
      <c r="B9" s="4" t="s">
        <v>12</v>
      </c>
      <c r="C9" s="5">
        <f>IFERROR(__xludf.DUMMYFUNCTION("IFERROR(
    FILTER(
        'Матрица поставщиков'!E:E,
        'Матрица поставщиков'!A:A = A9,
        'Матрица поставщиков'!B:B = C1
    ),
    0
)
"),0.0)</f>
        <v>0</v>
      </c>
      <c r="D9" s="5">
        <f>IFERROR(__xludf.DUMMYFUNCTION("IFERROR(
    FILTER(
        'Матрица поставщиков'!E:E,
        'Матрица поставщиков'!A:A = A9,
        'Матрица поставщиков'!B:B = D1
    ),
    0
)
"),0.0)</f>
        <v>0</v>
      </c>
      <c r="E9" s="5">
        <f>IFERROR(__xludf.DUMMYFUNCTION("IFERROR(
    FILTER(
        'Матрица поставщиков'!E:E,
        'Матрица поставщиков'!A:A = A9,
        'Матрица поставщиков'!B:B = E1
    ),
    0
)
"),0.0)</f>
        <v>0</v>
      </c>
    </row>
    <row r="10">
      <c r="A10" s="4" t="s">
        <v>14</v>
      </c>
      <c r="B10" s="4" t="s">
        <v>12</v>
      </c>
      <c r="C10" s="5">
        <f>IFERROR(__xludf.DUMMYFUNCTION("IFERROR(
    FILTER(
        'Матрица поставщиков'!E:E,
        'Матрица поставщиков'!A:A = A10,
        'Матрица поставщиков'!B:B = C1
    ),
    0
)
"),0.0)</f>
        <v>0</v>
      </c>
      <c r="D10" s="5">
        <f>IFERROR(__xludf.DUMMYFUNCTION("IFERROR(
    FILTER(
        'Матрица поставщиков'!E:E,
        'Матрица поставщиков'!A:A = A10,
        'Матрица поставщиков'!B:B = D1
    ),
    0
)
"),0.0)</f>
        <v>0</v>
      </c>
      <c r="E10" s="5">
        <f>IFERROR(__xludf.DUMMYFUNCTION("IFERROR(
    FILTER(
        'Матрица поставщиков'!E:E,
        'Матрица поставщиков'!A:A = A10,
        'Матрица поставщиков'!B:B = E1
    ),
    0
)
"),0.0)</f>
        <v>0</v>
      </c>
    </row>
    <row r="11">
      <c r="A11" s="4" t="s">
        <v>15</v>
      </c>
      <c r="B11" s="4" t="s">
        <v>6</v>
      </c>
      <c r="C11" s="5">
        <f>IFERROR(__xludf.DUMMYFUNCTION("IFERROR(
    FILTER(
        'Матрица поставщиков'!E:E,
        'Матрица поставщиков'!A:A = A11,
        'Матрица поставщиков'!B:B = C1
    ),
    0
)
"),0.0)</f>
        <v>0</v>
      </c>
      <c r="D11" s="5">
        <f>IFERROR(__xludf.DUMMYFUNCTION("IFERROR(
    FILTER(
        'Матрица поставщиков'!E:E,
        'Матрица поставщиков'!A:A = A11,
        'Матрица поставщиков'!B:B = D1
    ),
    0
)
"),0.0)</f>
        <v>0</v>
      </c>
      <c r="E11" s="5">
        <f>IFERROR(__xludf.DUMMYFUNCTION("IFERROR(
    FILTER(
        'Матрица поставщиков'!E:E,
        'Матрица поставщиков'!A:A = A11,
        'Матрица поставщиков'!B:B = E1
    ),
    0
)
"),0.0)</f>
        <v>0</v>
      </c>
    </row>
    <row r="12">
      <c r="A12" s="4" t="s">
        <v>16</v>
      </c>
      <c r="B12" s="4" t="s">
        <v>6</v>
      </c>
      <c r="C12" s="5">
        <f>IFERROR(__xludf.DUMMYFUNCTION("IFERROR(
    FILTER(
        'Матрица поставщиков'!E:E,
        'Матрица поставщиков'!A:A = A12,
        'Матрица поставщиков'!B:B = C1
    ),
    0
)
"),0.0)</f>
        <v>0</v>
      </c>
      <c r="D12" s="5">
        <f>IFERROR(__xludf.DUMMYFUNCTION("IFERROR(
    FILTER(
        'Матрица поставщиков'!E:E,
        'Матрица поставщиков'!A:A = A12,
        'Матрица поставщиков'!B:B = D1
    ),
    0
)
"),0.0)</f>
        <v>0</v>
      </c>
      <c r="E12" s="5">
        <f>IFERROR(__xludf.DUMMYFUNCTION("IFERROR(
    FILTER(
        'Матрица поставщиков'!E:E,
        'Матрица поставщиков'!A:A = A12,
        'Матрица поставщиков'!B:B = E1
    ),
    0
)
"),0.0)</f>
        <v>0</v>
      </c>
    </row>
    <row r="13">
      <c r="A13" s="4" t="s">
        <v>17</v>
      </c>
      <c r="B13" s="4" t="s">
        <v>6</v>
      </c>
      <c r="C13" s="5">
        <f>IFERROR(__xludf.DUMMYFUNCTION("IFERROR(
    FILTER(
        'Матрица поставщиков'!E:E,
        'Матрица поставщиков'!A:A = A13,
        'Матрица поставщиков'!B:B = C1
    ),
    0
)
"),0.0)</f>
        <v>0</v>
      </c>
      <c r="D13" s="5">
        <f>IFERROR(__xludf.DUMMYFUNCTION("IFERROR(
    FILTER(
        'Матрица поставщиков'!E:E,
        'Матрица поставщиков'!A:A = A13,
        'Матрица поставщиков'!B:B = D1
    ),
    0
)
"),0.0)</f>
        <v>0</v>
      </c>
      <c r="E13" s="5">
        <f>IFERROR(__xludf.DUMMYFUNCTION("IFERROR(
    FILTER(
        'Матрица поставщиков'!E:E,
        'Матрица поставщиков'!A:A = A13,
        'Матрица поставщиков'!B:B = E1
    ),
    0
)
"),0.0)</f>
        <v>0</v>
      </c>
    </row>
    <row r="14">
      <c r="A14" s="4" t="s">
        <v>18</v>
      </c>
      <c r="B14" s="4" t="s">
        <v>6</v>
      </c>
      <c r="C14" s="5">
        <f>IFERROR(__xludf.DUMMYFUNCTION("IFERROR(
    FILTER(
        'Матрица поставщиков'!E:E,
        'Матрица поставщиков'!A:A = A14,
        'Матрица поставщиков'!B:B = C1
    ),
    0
)
"),0.0)</f>
        <v>0</v>
      </c>
      <c r="D14" s="5">
        <f>IFERROR(__xludf.DUMMYFUNCTION("IFERROR(
    FILTER(
        'Матрица поставщиков'!E:E,
        'Матрица поставщиков'!A:A = A14,
        'Матрица поставщиков'!B:B = D1
    ),
    0
)
"),0.0)</f>
        <v>0</v>
      </c>
      <c r="E14" s="5">
        <f>IFERROR(__xludf.DUMMYFUNCTION("IFERROR(
    FILTER(
        'Матрица поставщиков'!E:E,
        'Матрица поставщиков'!A:A = A14,
        'Матрица поставщиков'!B:B = E1
    ),
    0
)
"),0.0)</f>
        <v>0</v>
      </c>
    </row>
    <row r="15">
      <c r="A15" s="6" t="s">
        <v>19</v>
      </c>
      <c r="B15" s="4" t="s">
        <v>6</v>
      </c>
      <c r="C15" s="5">
        <f>IFERROR(__xludf.DUMMYFUNCTION("IFERROR(
    FILTER(
        'Матрица поставщиков'!E:E,
        'Матрица поставщиков'!A:A = A15,
        'Матрица поставщиков'!B:B = C1
    ),
    0
)
"),0.0)</f>
        <v>0</v>
      </c>
      <c r="D15" s="5">
        <f>IFERROR(__xludf.DUMMYFUNCTION("IFERROR(
    FILTER(
        'Матрица поставщиков'!E:E,
        'Матрица поставщиков'!A:A = A15,
        'Матрица поставщиков'!B:B = D1
    ),
    0
)
"),0.0)</f>
        <v>0</v>
      </c>
      <c r="E15" s="5">
        <f>IFERROR(__xludf.DUMMYFUNCTION("IFERROR(
    FILTER(
        'Матрица поставщиков'!E:E,
        'Матрица поставщиков'!A:A = A15,
        'Матрица поставщиков'!B:B = E1
    ),
    0
)
"),0.0)</f>
        <v>0</v>
      </c>
    </row>
    <row r="16">
      <c r="A16" s="4" t="s">
        <v>20</v>
      </c>
      <c r="B16" s="4" t="s">
        <v>6</v>
      </c>
      <c r="C16" s="5">
        <f>IFERROR(__xludf.DUMMYFUNCTION("IFERROR(
    FILTER(
        'Матрица поставщиков'!E:E,
        'Матрица поставщиков'!A:A = A16,
        'Матрица поставщиков'!B:B = C1
    ),
    0
)
"),0.0)</f>
        <v>0</v>
      </c>
      <c r="D16" s="5">
        <f>IFERROR(__xludf.DUMMYFUNCTION("IFERROR(
    FILTER(
        'Матрица поставщиков'!E:E,
        'Матрица поставщиков'!A:A = A16,
        'Матрица поставщиков'!B:B = D1
    ),
    0
)
"),0.0)</f>
        <v>0</v>
      </c>
      <c r="E16" s="5">
        <f>IFERROR(__xludf.DUMMYFUNCTION("IFERROR(
    FILTER(
        'Матрица поставщиков'!E:E,
        'Матрица поставщиков'!A:A = A16,
        'Матрица поставщиков'!B:B = E1
    ),
    0
)
"),0.0)</f>
        <v>0</v>
      </c>
    </row>
    <row r="17">
      <c r="A17" s="4" t="s">
        <v>21</v>
      </c>
      <c r="B17" s="4" t="s">
        <v>6</v>
      </c>
      <c r="C17" s="5">
        <f>IFERROR(__xludf.DUMMYFUNCTION("IFERROR(
    FILTER(
        'Матрица поставщиков'!E:E,
        'Матрица поставщиков'!A:A = A17,
        'Матрица поставщиков'!B:B = C1
    ),
    0
)
"),0.0)</f>
        <v>0</v>
      </c>
      <c r="D17" s="5">
        <f>IFERROR(__xludf.DUMMYFUNCTION("IFERROR(
    FILTER(
        'Матрица поставщиков'!E:E,
        'Матрица поставщиков'!A:A = A17,
        'Матрица поставщиков'!B:B = D1
    ),
    0
)
"),0.0)</f>
        <v>0</v>
      </c>
      <c r="E17" s="5">
        <f>IFERROR(__xludf.DUMMYFUNCTION("IFERROR(
    FILTER(
        'Матрица поставщиков'!E:E,
        'Матрица поставщиков'!A:A = A17,
        'Матрица поставщиков'!B:B = E1
    ),
    0
)
"),0.0)</f>
        <v>0</v>
      </c>
    </row>
    <row r="18">
      <c r="A18" s="4" t="s">
        <v>22</v>
      </c>
      <c r="B18" s="4" t="s">
        <v>6</v>
      </c>
      <c r="C18" s="5">
        <f>IFERROR(__xludf.DUMMYFUNCTION("IFERROR(
    FILTER(
        'Матрица поставщиков'!E:E,
        'Матрица поставщиков'!A:A = A18,
        'Матрица поставщиков'!B:B = C1
    ),
    0
)
"),0.0)</f>
        <v>0</v>
      </c>
      <c r="D18" s="5">
        <f>IFERROR(__xludf.DUMMYFUNCTION("IFERROR(
    FILTER(
        'Матрица поставщиков'!E:E,
        'Матрица поставщиков'!A:A = A18,
        'Матрица поставщиков'!B:B = D1
    ),
    0
)
"),0.0)</f>
        <v>0</v>
      </c>
      <c r="E18" s="5">
        <f>IFERROR(__xludf.DUMMYFUNCTION("IFERROR(
    FILTER(
        'Матрица поставщиков'!E:E,
        'Матрица поставщиков'!A:A = A18,
        'Матрица поставщиков'!B:B = E1
    ),
    0
)
"),0.0)</f>
        <v>0</v>
      </c>
    </row>
    <row r="19" ht="15.75" customHeight="1">
      <c r="A19" s="4" t="s">
        <v>23</v>
      </c>
      <c r="B19" s="4" t="s">
        <v>6</v>
      </c>
      <c r="C19" s="5">
        <f>IFERROR(__xludf.DUMMYFUNCTION("IFERROR(
    FILTER(
        'Матрица поставщиков'!E:E,
        'Матрица поставщиков'!A:A = A19,
        'Матрица поставщиков'!B:B = C1
    ),
    0
)
"),0.0)</f>
        <v>0</v>
      </c>
      <c r="D19" s="5">
        <f>IFERROR(__xludf.DUMMYFUNCTION("IFERROR(
    FILTER(
        'Матрица поставщиков'!E:E,
        'Матрица поставщиков'!A:A = A19,
        'Матрица поставщиков'!B:B = D1
    ),
    0
)
"),0.0)</f>
        <v>0</v>
      </c>
      <c r="E19" s="5">
        <f>IFERROR(__xludf.DUMMYFUNCTION("IFERROR(
    FILTER(
        'Матрица поставщиков'!E:E,
        'Матрица поставщиков'!A:A = A19,
        'Матрица поставщиков'!B:B = E1
    ),
    0
)
"),0.0)</f>
        <v>0</v>
      </c>
    </row>
    <row r="20" ht="15.75" customHeight="1">
      <c r="A20" s="6" t="s">
        <v>24</v>
      </c>
      <c r="B20" s="4" t="s">
        <v>6</v>
      </c>
      <c r="C20" s="5">
        <f>IFERROR(__xludf.DUMMYFUNCTION("IFERROR(
    FILTER(
        'Матрица поставщиков'!E:E,
        'Матрица поставщиков'!A:A = A20,
        'Матрица поставщиков'!B:B = C1
    ),
    0
)
"),0.0)</f>
        <v>0</v>
      </c>
      <c r="D20" s="5">
        <f>IFERROR(__xludf.DUMMYFUNCTION("IFERROR(
    FILTER(
        'Матрица поставщиков'!E:E,
        'Матрица поставщиков'!A:A = A20,
        'Матрица поставщиков'!B:B = D1
    ),
    0
)
"),0.0)</f>
        <v>0</v>
      </c>
      <c r="E20" s="5">
        <f>IFERROR(__xludf.DUMMYFUNCTION("IFERROR(
    FILTER(
        'Матрица поставщиков'!E:E,
        'Матрица поставщиков'!A:A = A20,
        'Матрица поставщиков'!B:B = E1
    ),
    0
)
"),0.0)</f>
        <v>0</v>
      </c>
    </row>
    <row r="21" ht="15.75" customHeight="1">
      <c r="A21" s="6" t="s">
        <v>25</v>
      </c>
      <c r="B21" s="6" t="s">
        <v>26</v>
      </c>
      <c r="C21" s="5">
        <f>IFERROR(__xludf.DUMMYFUNCTION("IFERROR(
    FILTER(
        'Матрица поставщиков'!E:E,
        'Матрица поставщиков'!A:A = A21,
        'Матрица поставщиков'!B:B = C1
    ),
    0
)
"),0.0)</f>
        <v>0</v>
      </c>
      <c r="D21" s="5">
        <f>IFERROR(__xludf.DUMMYFUNCTION("IFERROR(
    FILTER(
        'Матрица поставщиков'!E:E,
        'Матрица поставщиков'!A:A = A21,
        'Матрица поставщиков'!B:B = D1
    ),
    0
)
"),0.0)</f>
        <v>0</v>
      </c>
      <c r="E21" s="5">
        <f>IFERROR(__xludf.DUMMYFUNCTION("IFERROR(
    FILTER(
        'Матрица поставщиков'!E:E,
        'Матрица поставщиков'!A:A = A21,
        'Матрица поставщиков'!B:B = E1
    ),
    0
)
"),0.0)</f>
        <v>0</v>
      </c>
    </row>
    <row r="22" ht="15.75" customHeight="1">
      <c r="A22" s="6" t="s">
        <v>27</v>
      </c>
      <c r="B22" s="4" t="s">
        <v>6</v>
      </c>
      <c r="C22" s="5">
        <f>IFERROR(__xludf.DUMMYFUNCTION("IFERROR(
    FILTER(
        'Матрица поставщиков'!E:E,
        'Матрица поставщиков'!A:A = A22,
        'Матрица поставщиков'!B:B = C1
    ),
    0
)
"),0.0)</f>
        <v>0</v>
      </c>
      <c r="D22" s="5">
        <f>IFERROR(__xludf.DUMMYFUNCTION("IFERROR(
    FILTER(
        'Матрица поставщиков'!E:E,
        'Матрица поставщиков'!A:A = A22,
        'Матрица поставщиков'!B:B = D1
    ),
    0
)
"),0.0)</f>
        <v>0</v>
      </c>
      <c r="E22" s="5">
        <f>IFERROR(__xludf.DUMMYFUNCTION("IFERROR(
    FILTER(
        'Матрица поставщиков'!E:E,
        'Матрица поставщиков'!A:A = A22,
        'Матрица поставщиков'!B:B = E1
    ),
    0
)
"),0.0)</f>
        <v>0</v>
      </c>
    </row>
    <row r="23" ht="15.75" customHeight="1">
      <c r="A23" s="6" t="s">
        <v>28</v>
      </c>
      <c r="B23" s="4" t="s">
        <v>6</v>
      </c>
      <c r="C23" s="5">
        <f>IFERROR(__xludf.DUMMYFUNCTION("IFERROR(
    FILTER(
        'Матрица поставщиков'!E:E,
        'Матрица поставщиков'!A:A = A23,
        'Матрица поставщиков'!B:B = C1
    ),
    0
)
"),0.0875)</f>
        <v>0.0875</v>
      </c>
      <c r="D23" s="5">
        <f>IFERROR(__xludf.DUMMYFUNCTION("IFERROR(
    FILTER(
        'Матрица поставщиков'!E:E,
        'Матрица поставщиков'!A:A = A23,
        'Матрица поставщиков'!B:B = D1
    ),
    0
)
"),0.0)</f>
        <v>0</v>
      </c>
      <c r="E23" s="5">
        <f>IFERROR(__xludf.DUMMYFUNCTION("IFERROR(
    FILTER(
        'Матрица поставщиков'!E:E,
        'Матрица поставщиков'!A:A = A23,
        'Матрица поставщиков'!B:B = E1
    ),
    0
)
"),0.0)</f>
        <v>0</v>
      </c>
    </row>
    <row r="24" ht="15.75" customHeight="1">
      <c r="A24" s="6" t="s">
        <v>29</v>
      </c>
      <c r="B24" s="4" t="s">
        <v>12</v>
      </c>
      <c r="C24" s="5">
        <f>IFERROR(__xludf.DUMMYFUNCTION("IFERROR(
    FILTER(
        'Матрица поставщиков'!E:E,
        'Матрица поставщиков'!A:A = A24,
        'Матрица поставщиков'!B:B = C1
    ),
    0
)
"),0.0)</f>
        <v>0</v>
      </c>
      <c r="D24" s="5">
        <f>IFERROR(__xludf.DUMMYFUNCTION("IFERROR(
    FILTER(
        'Матрица поставщиков'!E:E,
        'Матрица поставщиков'!A:A = A24,
        'Матрица поставщиков'!B:B = D1
    ),
    0
)
"),0.0)</f>
        <v>0</v>
      </c>
      <c r="E24" s="5">
        <f>IFERROR(__xludf.DUMMYFUNCTION("IFERROR(
    FILTER(
        'Матрица поставщиков'!E:E,
        'Матрица поставщиков'!A:A = A24,
        'Матрица поставщиков'!B:B = E1
    ),
    0
)
"),1.0394736842105263)</f>
        <v>1.039473684</v>
      </c>
    </row>
    <row r="25" ht="15.75" customHeight="1">
      <c r="A25" s="6" t="s">
        <v>30</v>
      </c>
      <c r="B25" s="4" t="s">
        <v>6</v>
      </c>
      <c r="C25" s="5">
        <f>IFERROR(__xludf.DUMMYFUNCTION("IFERROR(
    FILTER(
        'Матрица поставщиков'!E:E,
        'Матрица поставщиков'!A:A = A25,
        'Матрица поставщиков'!B:B = C1
    ),
    0
)
"),0.0)</f>
        <v>0</v>
      </c>
      <c r="D25" s="5">
        <f>IFERROR(__xludf.DUMMYFUNCTION("IFERROR(
    FILTER(
        'Матрица поставщиков'!E:E,
        'Матрица поставщиков'!A:A = A25,
        'Матрица поставщиков'!B:B = D1
    ),
    0
)
"),0.0)</f>
        <v>0</v>
      </c>
      <c r="E25" s="5">
        <f>IFERROR(__xludf.DUMMYFUNCTION("IFERROR(
    FILTER(
        'Матрица поставщиков'!E:E,
        'Матрица поставщиков'!A:A = A25,
        'Матрица поставщиков'!B:B = E1
    ),
    0
)
"),0.0)</f>
        <v>0</v>
      </c>
    </row>
    <row r="26" ht="15.75" customHeight="1">
      <c r="A26" s="6" t="s">
        <v>31</v>
      </c>
      <c r="B26" s="4" t="s">
        <v>12</v>
      </c>
      <c r="C26" s="5">
        <f>IFERROR(__xludf.DUMMYFUNCTION("IFERROR(
    FILTER(
        'Матрица поставщиков'!E:E,
        'Матрица поставщиков'!A:A = A26,
        'Матрица поставщиков'!B:B = C1
    ),
    0
)
"),0.0)</f>
        <v>0</v>
      </c>
      <c r="D26" s="5">
        <f>IFERROR(__xludf.DUMMYFUNCTION("IFERROR(
    FILTER(
        'Матрица поставщиков'!E:E,
        'Матрица поставщиков'!A:A = A26,
        'Матрица поставщиков'!B:B = D1
    ),
    0
)
"),0.0)</f>
        <v>0</v>
      </c>
      <c r="E26" s="5">
        <f>IFERROR(__xludf.DUMMYFUNCTION("IFERROR(
    FILTER(
        'Матрица поставщиков'!E:E,
        'Матрица поставщиков'!A:A = A26,
        'Матрица поставщиков'!B:B = E1
    ),
    0
)
"),0.0)</f>
        <v>0</v>
      </c>
    </row>
    <row r="27" ht="15.75" customHeight="1">
      <c r="A27" s="6" t="s">
        <v>32</v>
      </c>
      <c r="B27" s="4" t="s">
        <v>6</v>
      </c>
      <c r="C27" s="5">
        <f>IFERROR(__xludf.DUMMYFUNCTION("IFERROR(
    FILTER(
        'Матрица поставщиков'!E:E,
        'Матрица поставщиков'!A:A = A27,
        'Матрица поставщиков'!B:B = C1
    ),
    0
)
"),0.0)</f>
        <v>0</v>
      </c>
      <c r="D27" s="5">
        <f>IFERROR(__xludf.DUMMYFUNCTION("IFERROR(
    FILTER(
        'Матрица поставщиков'!E:E,
        'Матрица поставщиков'!A:A = A27,
        'Матрица поставщиков'!B:B = D1
    ),
    0
)
"),0.0)</f>
        <v>0</v>
      </c>
      <c r="E27" s="5">
        <f>IFERROR(__xludf.DUMMYFUNCTION("IFERROR(
    FILTER(
        'Матрица поставщиков'!E:E,
        'Матрица поставщиков'!A:A = A27,
        'Матрица поставщиков'!B:B = E1
    ),
    0
)
"),0.0)</f>
        <v>0</v>
      </c>
    </row>
    <row r="28" ht="15.75" customHeight="1">
      <c r="A28" s="6" t="s">
        <v>33</v>
      </c>
      <c r="B28" s="4" t="s">
        <v>12</v>
      </c>
      <c r="C28" s="5">
        <f>IFERROR(__xludf.DUMMYFUNCTION("IFERROR(
    FILTER(
        'Матрица поставщиков'!E:E,
        'Матрица поставщиков'!A:A = A28,
        'Матрица поставщиков'!B:B = C2
    ),
    0
)
"),0.0)</f>
        <v>0</v>
      </c>
      <c r="D28" s="5">
        <f>IFERROR(__xludf.DUMMYFUNCTION("IFERROR(
    FILTER(
        'Матрица поставщиков'!E:E,
        'Матрица поставщиков'!A:A = A28,
        'Матрица поставщиков'!B:B = D1
    ),
    0
)
"),0.0)</f>
        <v>0</v>
      </c>
      <c r="E28" s="5">
        <f>IFERROR(__xludf.DUMMYFUNCTION("IFERROR(
    FILTER(
        'Матрица поставщиков'!E:E,
        'Матрица поставщиков'!A:A = A28,
        'Матрица поставщиков'!B:B = E1
    ),
    0
)
"),1.3727272727272728)</f>
        <v>1.372727273</v>
      </c>
    </row>
    <row r="29" ht="15.75" customHeight="1">
      <c r="A29" s="6" t="s">
        <v>34</v>
      </c>
      <c r="B29" s="6" t="s">
        <v>6</v>
      </c>
      <c r="C29" s="5"/>
      <c r="D29" s="4"/>
      <c r="E29" s="4"/>
    </row>
    <row r="30" ht="15.75" customHeight="1">
      <c r="A30" s="4"/>
      <c r="B30" s="4"/>
      <c r="C30" s="5"/>
      <c r="D30" s="4"/>
      <c r="E30" s="4"/>
    </row>
    <row r="31" ht="15.75" customHeight="1">
      <c r="A31" s="4"/>
      <c r="B31" s="4"/>
      <c r="C31" s="5"/>
      <c r="D31" s="4"/>
      <c r="E31" s="4"/>
    </row>
    <row r="32" ht="15.75" customHeight="1">
      <c r="A32" s="4"/>
      <c r="B32" s="4"/>
      <c r="C32" s="5"/>
      <c r="D32" s="4"/>
      <c r="E32" s="4"/>
    </row>
    <row r="33" ht="15.75" customHeight="1">
      <c r="A33" s="4"/>
      <c r="B33" s="4"/>
      <c r="C33" s="5"/>
      <c r="D33" s="4"/>
      <c r="E33" s="4"/>
    </row>
    <row r="34" ht="15.75" customHeight="1">
      <c r="A34" s="4"/>
      <c r="B34" s="4"/>
      <c r="C34" s="5"/>
      <c r="D34" s="4"/>
      <c r="E34" s="4"/>
    </row>
    <row r="35" ht="15.75" customHeight="1">
      <c r="A35" s="4"/>
      <c r="B35" s="4"/>
      <c r="C35" s="5"/>
      <c r="D35" s="4"/>
      <c r="E35" s="4"/>
    </row>
    <row r="36" ht="15.75" customHeight="1">
      <c r="A36" s="4"/>
      <c r="B36" s="4"/>
      <c r="C36" s="5"/>
      <c r="D36" s="4"/>
      <c r="E36" s="4"/>
    </row>
    <row r="37" ht="15.75" customHeight="1">
      <c r="A37" s="4"/>
      <c r="B37" s="4"/>
      <c r="C37" s="5"/>
      <c r="D37" s="4"/>
      <c r="E37" s="4"/>
    </row>
    <row r="38" ht="15.75" customHeight="1">
      <c r="A38" s="4"/>
      <c r="B38" s="4"/>
      <c r="C38" s="5"/>
      <c r="D38" s="4"/>
      <c r="E38" s="4"/>
    </row>
    <row r="39" ht="15.75" customHeight="1">
      <c r="A39" s="4"/>
      <c r="B39" s="4"/>
      <c r="C39" s="5"/>
      <c r="D39" s="4"/>
      <c r="E39" s="4"/>
    </row>
    <row r="40" ht="15.75" customHeight="1">
      <c r="A40" s="4"/>
      <c r="B40" s="4"/>
      <c r="C40" s="5"/>
      <c r="D40" s="4"/>
      <c r="E40" s="4"/>
    </row>
    <row r="41" ht="15.75" customHeight="1">
      <c r="A41" s="4"/>
      <c r="B41" s="4"/>
      <c r="C41" s="5"/>
      <c r="D41" s="4"/>
      <c r="E41" s="4"/>
    </row>
    <row r="42" ht="15.75" customHeight="1">
      <c r="A42" s="4"/>
      <c r="B42" s="4"/>
      <c r="C42" s="5"/>
      <c r="D42" s="4"/>
      <c r="E42" s="4"/>
    </row>
    <row r="43" ht="15.75" customHeight="1">
      <c r="A43" s="4"/>
      <c r="B43" s="4"/>
      <c r="C43" s="5"/>
      <c r="D43" s="4"/>
      <c r="E43" s="4"/>
    </row>
    <row r="44" ht="15.75" customHeight="1">
      <c r="A44" s="4"/>
      <c r="B44" s="4"/>
      <c r="C44" s="5"/>
      <c r="D44" s="4"/>
      <c r="E44" s="4"/>
    </row>
    <row r="45" ht="15.75" customHeight="1">
      <c r="A45" s="4"/>
      <c r="B45" s="4"/>
      <c r="C45" s="5"/>
      <c r="D45" s="4"/>
      <c r="E45" s="4"/>
    </row>
    <row r="46" ht="15.75" customHeight="1">
      <c r="A46" s="4"/>
      <c r="B46" s="4"/>
      <c r="C46" s="5"/>
      <c r="D46" s="4"/>
      <c r="E46" s="4"/>
    </row>
    <row r="47" ht="15.75" customHeight="1">
      <c r="A47" s="4"/>
      <c r="B47" s="4"/>
      <c r="C47" s="5"/>
      <c r="D47" s="4"/>
      <c r="E47" s="4"/>
    </row>
    <row r="48" ht="15.75" customHeight="1">
      <c r="A48" s="4"/>
      <c r="B48" s="4"/>
      <c r="C48" s="5"/>
      <c r="D48" s="4"/>
      <c r="E48" s="4"/>
    </row>
    <row r="49" ht="15.75" customHeight="1">
      <c r="A49" s="4"/>
      <c r="B49" s="4"/>
      <c r="C49" s="5"/>
      <c r="D49" s="4"/>
      <c r="E49" s="4"/>
    </row>
    <row r="50" ht="15.75" customHeight="1">
      <c r="A50" s="4"/>
      <c r="B50" s="4"/>
      <c r="C50" s="5"/>
      <c r="D50" s="4"/>
      <c r="E50" s="4"/>
    </row>
    <row r="51" ht="15.75" customHeight="1">
      <c r="A51" s="4"/>
      <c r="B51" s="4"/>
      <c r="C51" s="5"/>
      <c r="D51" s="4"/>
      <c r="E51" s="4"/>
    </row>
    <row r="52" ht="15.75" customHeight="1">
      <c r="A52" s="4"/>
      <c r="B52" s="4"/>
      <c r="C52" s="5"/>
      <c r="D52" s="4"/>
      <c r="E52" s="4"/>
    </row>
    <row r="53" ht="15.75" customHeight="1">
      <c r="A53" s="4"/>
      <c r="B53" s="4"/>
      <c r="C53" s="5"/>
      <c r="D53" s="4"/>
      <c r="E53" s="4"/>
    </row>
    <row r="54" ht="15.75" customHeight="1">
      <c r="A54" s="4"/>
      <c r="B54" s="4"/>
      <c r="C54" s="5"/>
      <c r="D54" s="4"/>
      <c r="E54" s="4"/>
    </row>
    <row r="55" ht="15.75" customHeight="1">
      <c r="A55" s="4"/>
      <c r="B55" s="4"/>
      <c r="C55" s="5"/>
      <c r="D55" s="4"/>
      <c r="E55" s="4"/>
    </row>
    <row r="56" ht="15.75" customHeight="1">
      <c r="A56" s="4"/>
      <c r="B56" s="4"/>
      <c r="C56" s="5"/>
      <c r="D56" s="4"/>
      <c r="E56" s="4"/>
    </row>
    <row r="57" ht="15.75" customHeight="1">
      <c r="A57" s="4"/>
      <c r="B57" s="4"/>
      <c r="C57" s="5"/>
      <c r="D57" s="4"/>
      <c r="E57" s="4"/>
    </row>
    <row r="58" ht="15.75" customHeight="1">
      <c r="A58" s="4"/>
      <c r="B58" s="4"/>
      <c r="C58" s="5"/>
      <c r="D58" s="4"/>
      <c r="E58" s="4"/>
    </row>
    <row r="59" ht="15.75" customHeight="1">
      <c r="A59" s="4"/>
      <c r="B59" s="4"/>
      <c r="C59" s="5"/>
      <c r="D59" s="4"/>
      <c r="E59" s="4"/>
    </row>
    <row r="60" ht="15.75" customHeight="1">
      <c r="A60" s="4"/>
      <c r="B60" s="4"/>
      <c r="C60" s="5"/>
      <c r="D60" s="4"/>
      <c r="E60" s="4"/>
    </row>
    <row r="61" ht="15.75" customHeight="1">
      <c r="A61" s="4"/>
      <c r="B61" s="4"/>
      <c r="C61" s="5"/>
      <c r="D61" s="4"/>
      <c r="E61" s="4"/>
    </row>
    <row r="62" ht="15.75" customHeight="1">
      <c r="A62" s="4"/>
      <c r="B62" s="4"/>
      <c r="C62" s="5"/>
      <c r="D62" s="4"/>
      <c r="E62" s="4"/>
    </row>
    <row r="63" ht="15.75" customHeight="1">
      <c r="A63" s="4"/>
      <c r="B63" s="4"/>
      <c r="C63" s="5"/>
      <c r="D63" s="4"/>
      <c r="E63" s="4"/>
    </row>
    <row r="64" ht="15.75" customHeight="1">
      <c r="A64" s="4"/>
      <c r="B64" s="4"/>
      <c r="C64" s="5"/>
      <c r="D64" s="4"/>
      <c r="E64" s="4"/>
    </row>
    <row r="65" ht="15.75" customHeight="1">
      <c r="A65" s="4"/>
      <c r="B65" s="4"/>
      <c r="C65" s="5"/>
      <c r="D65" s="4"/>
      <c r="E65" s="4"/>
    </row>
    <row r="66" ht="15.75" customHeight="1">
      <c r="A66" s="4"/>
      <c r="B66" s="4"/>
      <c r="C66" s="5"/>
      <c r="D66" s="4"/>
      <c r="E66" s="4"/>
    </row>
    <row r="67" ht="15.75" customHeight="1">
      <c r="A67" s="4"/>
      <c r="B67" s="4"/>
      <c r="C67" s="5"/>
      <c r="D67" s="4"/>
      <c r="E67" s="4"/>
    </row>
    <row r="68" ht="15.75" customHeight="1">
      <c r="A68" s="4"/>
      <c r="B68" s="4"/>
      <c r="C68" s="5"/>
      <c r="D68" s="4"/>
      <c r="E68" s="4"/>
    </row>
    <row r="69" ht="15.75" customHeight="1">
      <c r="A69" s="4"/>
      <c r="B69" s="4"/>
      <c r="C69" s="5"/>
      <c r="D69" s="4"/>
      <c r="E69" s="4"/>
    </row>
    <row r="70" ht="15.75" customHeight="1">
      <c r="A70" s="4"/>
      <c r="B70" s="4"/>
      <c r="C70" s="5"/>
      <c r="D70" s="4"/>
      <c r="E70" s="4"/>
    </row>
    <row r="71" ht="15.75" customHeight="1">
      <c r="A71" s="4"/>
      <c r="B71" s="4"/>
      <c r="C71" s="5"/>
      <c r="D71" s="4"/>
      <c r="E71" s="4"/>
    </row>
    <row r="72" ht="15.75" customHeight="1">
      <c r="A72" s="4"/>
      <c r="B72" s="4"/>
      <c r="C72" s="5"/>
      <c r="D72" s="4"/>
      <c r="E72" s="4"/>
    </row>
    <row r="73" ht="15.75" customHeight="1">
      <c r="A73" s="4"/>
      <c r="B73" s="4"/>
      <c r="C73" s="5"/>
      <c r="D73" s="4"/>
      <c r="E73" s="4"/>
    </row>
    <row r="74" ht="15.75" customHeight="1">
      <c r="A74" s="4"/>
      <c r="B74" s="4"/>
      <c r="C74" s="5"/>
      <c r="D74" s="4"/>
      <c r="E74" s="4"/>
    </row>
    <row r="75" ht="15.75" customHeight="1">
      <c r="A75" s="4"/>
      <c r="B75" s="4"/>
      <c r="C75" s="5"/>
      <c r="D75" s="4"/>
      <c r="E75" s="4"/>
    </row>
    <row r="76" ht="15.75" customHeight="1">
      <c r="A76" s="4"/>
      <c r="B76" s="4"/>
      <c r="C76" s="5"/>
      <c r="D76" s="4"/>
      <c r="E76" s="4"/>
    </row>
    <row r="77" ht="15.75" customHeight="1">
      <c r="A77" s="4"/>
      <c r="B77" s="4"/>
      <c r="C77" s="5"/>
      <c r="D77" s="4"/>
      <c r="E77" s="4"/>
    </row>
    <row r="78" ht="15.75" customHeight="1">
      <c r="A78" s="4"/>
      <c r="B78" s="4"/>
      <c r="C78" s="5"/>
      <c r="D78" s="4"/>
      <c r="E78" s="4"/>
    </row>
    <row r="79" ht="15.75" customHeight="1">
      <c r="A79" s="4"/>
      <c r="B79" s="4"/>
      <c r="C79" s="5"/>
      <c r="D79" s="4"/>
      <c r="E79" s="4"/>
    </row>
    <row r="80" ht="15.75" customHeight="1">
      <c r="A80" s="4"/>
      <c r="B80" s="4"/>
      <c r="C80" s="5"/>
      <c r="D80" s="4"/>
      <c r="E80" s="4"/>
    </row>
    <row r="81" ht="15.75" customHeight="1">
      <c r="A81" s="4"/>
      <c r="B81" s="4"/>
      <c r="C81" s="5"/>
      <c r="D81" s="4"/>
      <c r="E81" s="4"/>
    </row>
    <row r="82" ht="15.75" customHeight="1">
      <c r="A82" s="4"/>
      <c r="B82" s="4"/>
      <c r="C82" s="5"/>
      <c r="D82" s="4"/>
      <c r="E82" s="4"/>
    </row>
    <row r="83" ht="15.75" customHeight="1">
      <c r="A83" s="4"/>
      <c r="B83" s="4"/>
      <c r="C83" s="5"/>
      <c r="D83" s="4"/>
      <c r="E83" s="4"/>
    </row>
    <row r="84" ht="15.75" customHeight="1">
      <c r="A84" s="4"/>
      <c r="B84" s="4"/>
      <c r="C84" s="5"/>
      <c r="D84" s="4"/>
      <c r="E84" s="4"/>
    </row>
    <row r="85" ht="15.75" customHeight="1">
      <c r="A85" s="4"/>
      <c r="B85" s="4"/>
      <c r="C85" s="5"/>
      <c r="D85" s="4"/>
      <c r="E85" s="4"/>
    </row>
    <row r="86" ht="15.75" customHeight="1">
      <c r="A86" s="4"/>
      <c r="B86" s="4"/>
      <c r="C86" s="5"/>
      <c r="D86" s="4"/>
      <c r="E86" s="4"/>
    </row>
    <row r="87" ht="15.75" customHeight="1">
      <c r="A87" s="4"/>
      <c r="B87" s="4"/>
      <c r="C87" s="5"/>
      <c r="D87" s="4"/>
      <c r="E87" s="4"/>
    </row>
    <row r="88" ht="15.75" customHeight="1">
      <c r="A88" s="4"/>
      <c r="B88" s="4"/>
      <c r="C88" s="5"/>
      <c r="D88" s="4"/>
      <c r="E88" s="4"/>
    </row>
    <row r="89" ht="15.75" customHeight="1">
      <c r="A89" s="4"/>
      <c r="B89" s="4"/>
      <c r="C89" s="5"/>
      <c r="D89" s="4"/>
      <c r="E89" s="4"/>
    </row>
    <row r="90" ht="15.75" customHeight="1">
      <c r="A90" s="4"/>
      <c r="B90" s="4"/>
      <c r="C90" s="5"/>
      <c r="D90" s="4"/>
      <c r="E90" s="4"/>
    </row>
    <row r="91" ht="15.75" customHeight="1">
      <c r="A91" s="4"/>
      <c r="B91" s="4"/>
      <c r="C91" s="5"/>
      <c r="D91" s="4"/>
      <c r="E91" s="4"/>
    </row>
    <row r="92" ht="15.75" customHeight="1">
      <c r="A92" s="4"/>
      <c r="B92" s="4"/>
      <c r="C92" s="5"/>
      <c r="D92" s="4"/>
      <c r="E92" s="4"/>
    </row>
    <row r="93" ht="15.75" customHeight="1">
      <c r="A93" s="4"/>
      <c r="B93" s="4"/>
      <c r="C93" s="5"/>
      <c r="D93" s="4"/>
      <c r="E93" s="4"/>
    </row>
    <row r="94" ht="15.75" customHeight="1">
      <c r="A94" s="4"/>
      <c r="B94" s="4"/>
      <c r="C94" s="5"/>
      <c r="D94" s="4"/>
      <c r="E94" s="4"/>
    </row>
    <row r="95" ht="15.75" customHeight="1">
      <c r="A95" s="4"/>
      <c r="B95" s="4"/>
      <c r="C95" s="5"/>
      <c r="D95" s="4"/>
      <c r="E95" s="4"/>
    </row>
    <row r="96" ht="15.75" customHeight="1">
      <c r="A96" s="4"/>
      <c r="B96" s="4"/>
      <c r="C96" s="5"/>
      <c r="D96" s="4"/>
      <c r="E96" s="4"/>
    </row>
    <row r="97" ht="15.75" customHeight="1">
      <c r="A97" s="4"/>
      <c r="B97" s="4"/>
      <c r="C97" s="5"/>
      <c r="D97" s="4"/>
      <c r="E97" s="4"/>
    </row>
    <row r="98" ht="15.75" customHeight="1">
      <c r="A98" s="4"/>
      <c r="B98" s="4"/>
      <c r="C98" s="5"/>
      <c r="D98" s="4"/>
      <c r="E98" s="4"/>
    </row>
    <row r="99" ht="15.75" customHeight="1">
      <c r="A99" s="4"/>
      <c r="B99" s="4"/>
      <c r="C99" s="5"/>
      <c r="D99" s="4"/>
      <c r="E99" s="4"/>
    </row>
    <row r="100" ht="15.75" customHeight="1">
      <c r="A100" s="4"/>
      <c r="B100" s="4"/>
      <c r="C100" s="5"/>
      <c r="D100" s="4"/>
      <c r="E100" s="4"/>
    </row>
    <row r="101" ht="15.75" customHeight="1">
      <c r="A101" s="4"/>
      <c r="B101" s="4"/>
      <c r="C101" s="5"/>
      <c r="D101" s="4"/>
      <c r="E101" s="4"/>
    </row>
    <row r="102" ht="15.75" customHeight="1">
      <c r="A102" s="4"/>
      <c r="B102" s="4"/>
      <c r="C102" s="5"/>
      <c r="D102" s="4"/>
      <c r="E102" s="4"/>
    </row>
    <row r="103" ht="15.75" customHeight="1">
      <c r="A103" s="4"/>
      <c r="B103" s="4"/>
      <c r="C103" s="5"/>
      <c r="D103" s="4"/>
      <c r="E103" s="4"/>
    </row>
    <row r="104" ht="15.75" customHeight="1">
      <c r="A104" s="4"/>
      <c r="B104" s="4"/>
      <c r="C104" s="5"/>
      <c r="D104" s="4"/>
      <c r="E104" s="4"/>
    </row>
    <row r="105" ht="15.75" customHeight="1">
      <c r="A105" s="4"/>
      <c r="B105" s="4"/>
      <c r="C105" s="5"/>
      <c r="D105" s="4"/>
      <c r="E105" s="4"/>
    </row>
    <row r="106" ht="15.75" customHeight="1">
      <c r="A106" s="4"/>
      <c r="B106" s="4"/>
      <c r="C106" s="5"/>
      <c r="D106" s="4"/>
      <c r="E106" s="4"/>
    </row>
    <row r="107" ht="15.75" customHeight="1">
      <c r="A107" s="4"/>
      <c r="B107" s="4"/>
      <c r="C107" s="5"/>
      <c r="D107" s="4"/>
      <c r="E107" s="4"/>
    </row>
    <row r="108" ht="15.75" customHeight="1">
      <c r="A108" s="4"/>
      <c r="B108" s="4"/>
      <c r="C108" s="5"/>
      <c r="D108" s="4"/>
      <c r="E108" s="4"/>
    </row>
    <row r="109" ht="15.75" customHeight="1">
      <c r="A109" s="4"/>
      <c r="B109" s="4"/>
      <c r="C109" s="5"/>
      <c r="D109" s="4"/>
      <c r="E109" s="4"/>
    </row>
    <row r="110" ht="15.75" customHeight="1">
      <c r="A110" s="4"/>
      <c r="B110" s="4"/>
      <c r="C110" s="5"/>
      <c r="D110" s="4"/>
      <c r="E110" s="4"/>
    </row>
    <row r="111" ht="15.75" customHeight="1">
      <c r="A111" s="4"/>
      <c r="B111" s="4"/>
      <c r="C111" s="5"/>
      <c r="D111" s="4"/>
      <c r="E111" s="4"/>
    </row>
    <row r="112" ht="15.75" customHeight="1">
      <c r="A112" s="4"/>
      <c r="B112" s="4"/>
      <c r="C112" s="5"/>
      <c r="D112" s="4"/>
      <c r="E112" s="4"/>
    </row>
    <row r="113" ht="15.75" customHeight="1">
      <c r="A113" s="4"/>
      <c r="B113" s="4"/>
      <c r="C113" s="5"/>
      <c r="D113" s="4"/>
      <c r="E113" s="4"/>
    </row>
    <row r="114" ht="15.75" customHeight="1">
      <c r="A114" s="4"/>
      <c r="B114" s="4"/>
      <c r="C114" s="5"/>
      <c r="D114" s="4"/>
      <c r="E114" s="4"/>
    </row>
    <row r="115" ht="15.75" customHeight="1">
      <c r="A115" s="4"/>
      <c r="B115" s="4"/>
      <c r="C115" s="5"/>
      <c r="D115" s="4"/>
      <c r="E115" s="4"/>
    </row>
    <row r="116" ht="15.75" customHeight="1">
      <c r="A116" s="4"/>
      <c r="B116" s="4"/>
      <c r="C116" s="5"/>
      <c r="D116" s="4"/>
      <c r="E116" s="4"/>
    </row>
    <row r="117" ht="15.75" customHeight="1">
      <c r="A117" s="4"/>
      <c r="B117" s="4"/>
      <c r="C117" s="5"/>
      <c r="D117" s="4"/>
      <c r="E117" s="4"/>
    </row>
    <row r="118" ht="15.75" customHeight="1">
      <c r="A118" s="4"/>
      <c r="B118" s="4"/>
      <c r="C118" s="5"/>
      <c r="D118" s="4"/>
      <c r="E118" s="4"/>
    </row>
    <row r="119" ht="15.75" customHeight="1">
      <c r="A119" s="4"/>
      <c r="B119" s="4"/>
      <c r="C119" s="5"/>
      <c r="D119" s="4"/>
      <c r="E119" s="4"/>
    </row>
    <row r="120" ht="15.75" customHeight="1">
      <c r="A120" s="4"/>
      <c r="B120" s="4"/>
      <c r="C120" s="5"/>
      <c r="D120" s="4"/>
      <c r="E120" s="4"/>
    </row>
    <row r="121" ht="15.75" customHeight="1">
      <c r="A121" s="4"/>
      <c r="B121" s="4"/>
      <c r="C121" s="5"/>
      <c r="D121" s="4"/>
      <c r="E121" s="4"/>
    </row>
    <row r="122" ht="15.75" customHeight="1">
      <c r="A122" s="4"/>
      <c r="B122" s="4"/>
      <c r="C122" s="5"/>
      <c r="D122" s="4"/>
      <c r="E122" s="4"/>
    </row>
    <row r="123" ht="15.75" customHeight="1">
      <c r="A123" s="4"/>
      <c r="B123" s="4"/>
      <c r="C123" s="5"/>
      <c r="D123" s="4"/>
      <c r="E123" s="4"/>
    </row>
    <row r="124" ht="15.75" customHeight="1">
      <c r="A124" s="4"/>
      <c r="B124" s="4"/>
      <c r="C124" s="5"/>
      <c r="D124" s="4"/>
      <c r="E124" s="4"/>
    </row>
    <row r="125" ht="15.75" customHeight="1">
      <c r="A125" s="4"/>
      <c r="B125" s="4"/>
      <c r="C125" s="5"/>
      <c r="D125" s="4"/>
      <c r="E125" s="4"/>
    </row>
    <row r="126" ht="15.75" customHeight="1">
      <c r="A126" s="4"/>
      <c r="B126" s="4"/>
      <c r="C126" s="5"/>
      <c r="D126" s="4"/>
      <c r="E126" s="4"/>
    </row>
    <row r="127" ht="15.75" customHeight="1">
      <c r="A127" s="4"/>
      <c r="B127" s="4"/>
      <c r="C127" s="5"/>
      <c r="D127" s="4"/>
      <c r="E127" s="4"/>
    </row>
    <row r="128" ht="15.75" customHeight="1">
      <c r="A128" s="4"/>
      <c r="B128" s="4"/>
      <c r="C128" s="5"/>
      <c r="D128" s="4"/>
      <c r="E128" s="4"/>
    </row>
    <row r="129" ht="15.75" customHeight="1">
      <c r="A129" s="4"/>
      <c r="B129" s="4"/>
      <c r="C129" s="5"/>
      <c r="D129" s="4"/>
      <c r="E129" s="4"/>
    </row>
    <row r="130" ht="15.75" customHeight="1">
      <c r="A130" s="4"/>
      <c r="B130" s="4"/>
      <c r="C130" s="5"/>
      <c r="D130" s="4"/>
      <c r="E130" s="4"/>
    </row>
    <row r="131" ht="15.75" customHeight="1">
      <c r="A131" s="4"/>
      <c r="B131" s="4"/>
      <c r="C131" s="5"/>
      <c r="D131" s="4"/>
      <c r="E131" s="4"/>
    </row>
    <row r="132" ht="15.75" customHeight="1">
      <c r="A132" s="4"/>
      <c r="B132" s="4"/>
      <c r="C132" s="5"/>
      <c r="D132" s="4"/>
      <c r="E132" s="4"/>
    </row>
    <row r="133" ht="15.75" customHeight="1">
      <c r="A133" s="4"/>
      <c r="B133" s="4"/>
      <c r="C133" s="5"/>
      <c r="D133" s="4"/>
      <c r="E133" s="4"/>
    </row>
    <row r="134" ht="15.75" customHeight="1">
      <c r="A134" s="4"/>
      <c r="B134" s="4"/>
      <c r="C134" s="5"/>
      <c r="D134" s="4"/>
      <c r="E134" s="4"/>
    </row>
    <row r="135" ht="15.75" customHeight="1">
      <c r="A135" s="4"/>
      <c r="B135" s="4"/>
      <c r="C135" s="5"/>
      <c r="D135" s="4"/>
      <c r="E135" s="4"/>
    </row>
    <row r="136" ht="15.75" customHeight="1">
      <c r="A136" s="4"/>
      <c r="B136" s="4"/>
      <c r="C136" s="5"/>
      <c r="D136" s="4"/>
      <c r="E136" s="4"/>
    </row>
    <row r="137" ht="15.75" customHeight="1">
      <c r="A137" s="4"/>
      <c r="B137" s="4"/>
      <c r="C137" s="5"/>
      <c r="D137" s="4"/>
      <c r="E137" s="4"/>
    </row>
    <row r="138" ht="15.75" customHeight="1">
      <c r="A138" s="4"/>
      <c r="B138" s="4"/>
      <c r="C138" s="5"/>
      <c r="D138" s="4"/>
      <c r="E138" s="4"/>
    </row>
    <row r="139" ht="15.75" customHeight="1">
      <c r="A139" s="4"/>
      <c r="B139" s="4"/>
      <c r="C139" s="5"/>
      <c r="D139" s="4"/>
      <c r="E139" s="4"/>
    </row>
    <row r="140" ht="15.75" customHeight="1">
      <c r="A140" s="4"/>
      <c r="B140" s="4"/>
      <c r="C140" s="5"/>
      <c r="D140" s="4"/>
      <c r="E140" s="4"/>
    </row>
    <row r="141" ht="15.75" customHeight="1">
      <c r="A141" s="4"/>
      <c r="B141" s="4"/>
      <c r="C141" s="5"/>
      <c r="D141" s="4"/>
      <c r="E141" s="4"/>
    </row>
    <row r="142" ht="15.75" customHeight="1">
      <c r="A142" s="4"/>
      <c r="B142" s="4"/>
      <c r="C142" s="5"/>
      <c r="D142" s="4"/>
      <c r="E142" s="4"/>
    </row>
    <row r="143" ht="15.75" customHeight="1">
      <c r="A143" s="4"/>
      <c r="B143" s="4"/>
      <c r="C143" s="5"/>
      <c r="D143" s="4"/>
      <c r="E143" s="4"/>
    </row>
    <row r="144" ht="15.75" customHeight="1">
      <c r="A144" s="4"/>
      <c r="B144" s="4"/>
      <c r="C144" s="5"/>
      <c r="D144" s="4"/>
      <c r="E144" s="4"/>
    </row>
    <row r="145" ht="15.75" customHeight="1">
      <c r="A145" s="4"/>
      <c r="B145" s="4"/>
      <c r="C145" s="5"/>
      <c r="D145" s="4"/>
      <c r="E145" s="4"/>
    </row>
    <row r="146" ht="15.75" customHeight="1">
      <c r="A146" s="4"/>
      <c r="B146" s="4"/>
      <c r="C146" s="5"/>
      <c r="D146" s="4"/>
      <c r="E146" s="4"/>
    </row>
    <row r="147" ht="15.75" customHeight="1">
      <c r="A147" s="4"/>
      <c r="B147" s="4"/>
      <c r="C147" s="5"/>
      <c r="D147" s="4"/>
      <c r="E147" s="4"/>
    </row>
    <row r="148" ht="15.75" customHeight="1">
      <c r="A148" s="4"/>
      <c r="B148" s="4"/>
      <c r="C148" s="5"/>
      <c r="D148" s="4"/>
      <c r="E148" s="4"/>
    </row>
    <row r="149" ht="15.75" customHeight="1">
      <c r="A149" s="4"/>
      <c r="B149" s="4"/>
      <c r="C149" s="5"/>
      <c r="D149" s="4"/>
      <c r="E149" s="4"/>
    </row>
    <row r="150" ht="15.75" customHeight="1">
      <c r="A150" s="4"/>
      <c r="B150" s="4"/>
      <c r="C150" s="5"/>
      <c r="D150" s="4"/>
      <c r="E150" s="4"/>
    </row>
    <row r="151" ht="15.75" customHeight="1">
      <c r="A151" s="4"/>
      <c r="B151" s="4"/>
      <c r="C151" s="5"/>
      <c r="D151" s="4"/>
      <c r="E151" s="4"/>
    </row>
    <row r="152" ht="15.75" customHeight="1">
      <c r="A152" s="4"/>
      <c r="B152" s="4"/>
      <c r="C152" s="5"/>
      <c r="D152" s="4"/>
      <c r="E152" s="4"/>
    </row>
    <row r="153" ht="15.75" customHeight="1">
      <c r="A153" s="4"/>
      <c r="B153" s="4"/>
      <c r="C153" s="5"/>
      <c r="D153" s="4"/>
      <c r="E153" s="4"/>
    </row>
    <row r="154" ht="15.75" customHeight="1">
      <c r="A154" s="4"/>
      <c r="B154" s="4"/>
      <c r="C154" s="5"/>
      <c r="D154" s="4"/>
      <c r="E154" s="4"/>
    </row>
    <row r="155" ht="15.75" customHeight="1">
      <c r="A155" s="4"/>
      <c r="B155" s="4"/>
      <c r="C155" s="5"/>
      <c r="D155" s="4"/>
      <c r="E155" s="4"/>
    </row>
    <row r="156" ht="15.75" customHeight="1">
      <c r="A156" s="4"/>
      <c r="B156" s="4"/>
      <c r="C156" s="5"/>
      <c r="D156" s="4"/>
      <c r="E156" s="4"/>
    </row>
    <row r="157" ht="15.75" customHeight="1">
      <c r="A157" s="4"/>
      <c r="B157" s="4"/>
      <c r="C157" s="5"/>
      <c r="D157" s="4"/>
      <c r="E157" s="4"/>
    </row>
    <row r="158" ht="15.75" customHeight="1">
      <c r="A158" s="4"/>
      <c r="B158" s="4"/>
      <c r="C158" s="5"/>
      <c r="D158" s="4"/>
      <c r="E158" s="4"/>
    </row>
    <row r="159" ht="15.75" customHeight="1">
      <c r="A159" s="4"/>
      <c r="B159" s="4"/>
      <c r="C159" s="5"/>
      <c r="D159" s="4"/>
      <c r="E159" s="4"/>
    </row>
    <row r="160" ht="15.75" customHeight="1">
      <c r="A160" s="4"/>
      <c r="B160" s="4"/>
      <c r="C160" s="5"/>
      <c r="D160" s="4"/>
      <c r="E160" s="4"/>
    </row>
    <row r="161" ht="15.75" customHeight="1">
      <c r="A161" s="4"/>
      <c r="B161" s="4"/>
      <c r="C161" s="5"/>
      <c r="D161" s="4"/>
      <c r="E161" s="4"/>
    </row>
    <row r="162" ht="15.75" customHeight="1">
      <c r="A162" s="4"/>
      <c r="B162" s="4"/>
      <c r="C162" s="5"/>
      <c r="D162" s="4"/>
      <c r="E162" s="4"/>
    </row>
    <row r="163" ht="15.75" customHeight="1">
      <c r="A163" s="4"/>
      <c r="B163" s="4"/>
      <c r="C163" s="5"/>
      <c r="D163" s="4"/>
      <c r="E163" s="4"/>
    </row>
    <row r="164" ht="15.75" customHeight="1">
      <c r="A164" s="4"/>
      <c r="B164" s="4"/>
      <c r="C164" s="5"/>
      <c r="D164" s="4"/>
      <c r="E164" s="4"/>
    </row>
    <row r="165" ht="15.75" customHeight="1">
      <c r="A165" s="4"/>
      <c r="B165" s="4"/>
      <c r="C165" s="5"/>
      <c r="D165" s="4"/>
      <c r="E165" s="4"/>
    </row>
    <row r="166" ht="15.75" customHeight="1">
      <c r="A166" s="4"/>
      <c r="B166" s="4"/>
      <c r="C166" s="5"/>
      <c r="D166" s="4"/>
      <c r="E166" s="4"/>
    </row>
    <row r="167" ht="15.75" customHeight="1">
      <c r="A167" s="4"/>
      <c r="B167" s="4"/>
      <c r="C167" s="5"/>
      <c r="D167" s="4"/>
      <c r="E167" s="4"/>
    </row>
    <row r="168" ht="15.75" customHeight="1">
      <c r="A168" s="4"/>
      <c r="B168" s="4"/>
      <c r="C168" s="5"/>
      <c r="D168" s="4"/>
      <c r="E168" s="4"/>
    </row>
    <row r="169" ht="15.75" customHeight="1">
      <c r="A169" s="4"/>
      <c r="B169" s="4"/>
      <c r="C169" s="5"/>
      <c r="D169" s="4"/>
      <c r="E169" s="4"/>
    </row>
    <row r="170" ht="15.75" customHeight="1">
      <c r="A170" s="4"/>
      <c r="B170" s="4"/>
      <c r="C170" s="5"/>
      <c r="D170" s="4"/>
      <c r="E170" s="4"/>
    </row>
    <row r="171" ht="15.75" customHeight="1">
      <c r="A171" s="4"/>
      <c r="B171" s="4"/>
      <c r="C171" s="5"/>
      <c r="D171" s="4"/>
      <c r="E171" s="4"/>
    </row>
    <row r="172" ht="15.75" customHeight="1">
      <c r="A172" s="4"/>
      <c r="B172" s="4"/>
      <c r="C172" s="5"/>
      <c r="D172" s="4"/>
      <c r="E172" s="4"/>
    </row>
    <row r="173" ht="15.75" customHeight="1">
      <c r="A173" s="4"/>
      <c r="B173" s="4"/>
      <c r="C173" s="5"/>
      <c r="D173" s="4"/>
      <c r="E173" s="4"/>
    </row>
    <row r="174" ht="15.75" customHeight="1">
      <c r="A174" s="4"/>
      <c r="B174" s="4"/>
      <c r="C174" s="5"/>
      <c r="D174" s="4"/>
      <c r="E174" s="4"/>
    </row>
    <row r="175" ht="15.75" customHeight="1">
      <c r="A175" s="4"/>
      <c r="B175" s="4"/>
      <c r="C175" s="5"/>
      <c r="D175" s="4"/>
      <c r="E175" s="4"/>
    </row>
    <row r="176" ht="15.75" customHeight="1">
      <c r="A176" s="4"/>
      <c r="B176" s="4"/>
      <c r="C176" s="5"/>
      <c r="D176" s="4"/>
      <c r="E176" s="4"/>
    </row>
    <row r="177" ht="15.75" customHeight="1">
      <c r="A177" s="4"/>
      <c r="B177" s="4"/>
      <c r="C177" s="5"/>
      <c r="D177" s="4"/>
      <c r="E177" s="4"/>
    </row>
    <row r="178" ht="15.75" customHeight="1">
      <c r="A178" s="4"/>
      <c r="B178" s="4"/>
      <c r="C178" s="5"/>
      <c r="D178" s="4"/>
      <c r="E178" s="4"/>
    </row>
    <row r="179" ht="15.75" customHeight="1">
      <c r="A179" s="4"/>
      <c r="B179" s="4"/>
      <c r="C179" s="5"/>
      <c r="D179" s="4"/>
      <c r="E179" s="4"/>
    </row>
    <row r="180" ht="15.75" customHeight="1">
      <c r="A180" s="4"/>
      <c r="B180" s="4"/>
      <c r="C180" s="5"/>
      <c r="D180" s="4"/>
      <c r="E180" s="4"/>
    </row>
    <row r="181" ht="15.75" customHeight="1">
      <c r="A181" s="4"/>
      <c r="B181" s="4"/>
      <c r="C181" s="5"/>
      <c r="D181" s="4"/>
      <c r="E181" s="4"/>
    </row>
    <row r="182" ht="15.75" customHeight="1">
      <c r="A182" s="4"/>
      <c r="B182" s="4"/>
      <c r="C182" s="5"/>
      <c r="D182" s="4"/>
      <c r="E182" s="4"/>
    </row>
    <row r="183" ht="15.75" customHeight="1">
      <c r="A183" s="4"/>
      <c r="B183" s="4"/>
      <c r="C183" s="5"/>
      <c r="D183" s="4"/>
      <c r="E183" s="4"/>
    </row>
    <row r="184" ht="15.75" customHeight="1">
      <c r="A184" s="4"/>
      <c r="B184" s="4"/>
      <c r="C184" s="5"/>
      <c r="D184" s="4"/>
      <c r="E184" s="4"/>
    </row>
    <row r="185" ht="15.75" customHeight="1">
      <c r="A185" s="4"/>
      <c r="B185" s="4"/>
      <c r="C185" s="5"/>
      <c r="D185" s="4"/>
      <c r="E185" s="4"/>
    </row>
    <row r="186" ht="15.75" customHeight="1">
      <c r="A186" s="4"/>
      <c r="B186" s="4"/>
      <c r="C186" s="5"/>
      <c r="D186" s="4"/>
      <c r="E186" s="4"/>
    </row>
    <row r="187" ht="15.75" customHeight="1">
      <c r="A187" s="4"/>
      <c r="B187" s="4"/>
      <c r="C187" s="5"/>
      <c r="D187" s="4"/>
      <c r="E187" s="4"/>
    </row>
    <row r="188" ht="15.75" customHeight="1">
      <c r="A188" s="4"/>
      <c r="B188" s="4"/>
      <c r="C188" s="5"/>
      <c r="D188" s="4"/>
      <c r="E188" s="4"/>
    </row>
    <row r="189" ht="15.75" customHeight="1">
      <c r="A189" s="4"/>
      <c r="B189" s="4"/>
      <c r="C189" s="5"/>
      <c r="D189" s="4"/>
      <c r="E189" s="4"/>
    </row>
    <row r="190" ht="15.75" customHeight="1">
      <c r="A190" s="4"/>
      <c r="B190" s="4"/>
      <c r="C190" s="5"/>
      <c r="D190" s="4"/>
      <c r="E190" s="4"/>
    </row>
    <row r="191" ht="15.75" customHeight="1">
      <c r="A191" s="4"/>
      <c r="B191" s="4"/>
      <c r="C191" s="5"/>
      <c r="D191" s="4"/>
      <c r="E191" s="4"/>
    </row>
    <row r="192" ht="15.75" customHeight="1">
      <c r="A192" s="4"/>
      <c r="B192" s="4"/>
      <c r="C192" s="5"/>
      <c r="D192" s="4"/>
      <c r="E192" s="4"/>
    </row>
    <row r="193" ht="15.75" customHeight="1">
      <c r="A193" s="4"/>
      <c r="B193" s="4"/>
      <c r="C193" s="5"/>
      <c r="D193" s="4"/>
      <c r="E193" s="4"/>
    </row>
    <row r="194" ht="15.75" customHeight="1">
      <c r="A194" s="4"/>
      <c r="B194" s="4"/>
      <c r="C194" s="5"/>
      <c r="D194" s="4"/>
      <c r="E194" s="4"/>
    </row>
    <row r="195" ht="15.75" customHeight="1">
      <c r="A195" s="4"/>
      <c r="B195" s="4"/>
      <c r="C195" s="5"/>
      <c r="D195" s="4"/>
      <c r="E195" s="4"/>
    </row>
    <row r="196" ht="15.75" customHeight="1">
      <c r="A196" s="4"/>
      <c r="B196" s="4"/>
      <c r="C196" s="5"/>
      <c r="D196" s="4"/>
      <c r="E196" s="4"/>
    </row>
    <row r="197" ht="15.75" customHeight="1">
      <c r="A197" s="4"/>
      <c r="B197" s="4"/>
      <c r="C197" s="5"/>
      <c r="D197" s="4"/>
      <c r="E197" s="4"/>
    </row>
    <row r="198" ht="15.75" customHeight="1">
      <c r="A198" s="4"/>
      <c r="B198" s="4"/>
      <c r="C198" s="5"/>
      <c r="D198" s="4"/>
      <c r="E198" s="4"/>
    </row>
    <row r="199" ht="15.75" customHeight="1">
      <c r="A199" s="4"/>
      <c r="B199" s="4"/>
      <c r="C199" s="5"/>
      <c r="D199" s="4"/>
      <c r="E199" s="4"/>
    </row>
    <row r="200" ht="15.75" customHeight="1">
      <c r="A200" s="4"/>
      <c r="B200" s="4"/>
      <c r="C200" s="5"/>
      <c r="D200" s="4"/>
      <c r="E200" s="4"/>
    </row>
    <row r="201" ht="15.75" customHeight="1">
      <c r="A201" s="4"/>
      <c r="B201" s="4"/>
      <c r="C201" s="5"/>
      <c r="D201" s="4"/>
      <c r="E201" s="4"/>
    </row>
    <row r="202" ht="15.75" customHeight="1">
      <c r="A202" s="4"/>
      <c r="B202" s="4"/>
      <c r="C202" s="5"/>
      <c r="D202" s="4"/>
      <c r="E202" s="4"/>
    </row>
    <row r="203" ht="15.75" customHeight="1">
      <c r="A203" s="4"/>
      <c r="B203" s="4"/>
      <c r="C203" s="5"/>
      <c r="D203" s="4"/>
      <c r="E203" s="4"/>
    </row>
    <row r="204" ht="15.75" customHeight="1">
      <c r="A204" s="4"/>
      <c r="B204" s="4"/>
      <c r="C204" s="5"/>
      <c r="D204" s="4"/>
      <c r="E204" s="4"/>
    </row>
    <row r="205" ht="15.75" customHeight="1">
      <c r="A205" s="4"/>
      <c r="B205" s="4"/>
      <c r="C205" s="5"/>
      <c r="D205" s="4"/>
      <c r="E205" s="4"/>
    </row>
    <row r="206" ht="15.75" customHeight="1">
      <c r="A206" s="4"/>
      <c r="B206" s="4"/>
      <c r="C206" s="5"/>
      <c r="D206" s="4"/>
      <c r="E206" s="4"/>
    </row>
    <row r="207" ht="15.75" customHeight="1">
      <c r="A207" s="4"/>
      <c r="B207" s="4"/>
      <c r="C207" s="5"/>
      <c r="D207" s="4"/>
      <c r="E207" s="4"/>
    </row>
    <row r="208" ht="15.75" customHeight="1">
      <c r="A208" s="4"/>
      <c r="B208" s="4"/>
      <c r="C208" s="5"/>
      <c r="D208" s="4"/>
      <c r="E208" s="4"/>
    </row>
    <row r="209" ht="15.75" customHeight="1">
      <c r="A209" s="4"/>
      <c r="B209" s="4"/>
      <c r="C209" s="5"/>
      <c r="D209" s="4"/>
      <c r="E209" s="4"/>
    </row>
    <row r="210" ht="15.75" customHeight="1">
      <c r="A210" s="4"/>
      <c r="B210" s="4"/>
      <c r="C210" s="5"/>
      <c r="D210" s="4"/>
      <c r="E210" s="4"/>
    </row>
    <row r="211" ht="15.75" customHeight="1">
      <c r="A211" s="4"/>
      <c r="B211" s="4"/>
      <c r="C211" s="5"/>
      <c r="D211" s="4"/>
      <c r="E211" s="4"/>
    </row>
    <row r="212" ht="15.75" customHeight="1">
      <c r="A212" s="4"/>
      <c r="B212" s="4"/>
      <c r="C212" s="5"/>
      <c r="D212" s="4"/>
      <c r="E212" s="4"/>
    </row>
    <row r="213" ht="15.75" customHeight="1">
      <c r="A213" s="4"/>
      <c r="B213" s="4"/>
      <c r="C213" s="5"/>
      <c r="D213" s="4"/>
      <c r="E213" s="4"/>
    </row>
    <row r="214" ht="15.75" customHeight="1">
      <c r="A214" s="4"/>
      <c r="B214" s="4"/>
      <c r="C214" s="5"/>
      <c r="D214" s="4"/>
      <c r="E214" s="4"/>
    </row>
    <row r="215" ht="15.75" customHeight="1">
      <c r="A215" s="4"/>
      <c r="B215" s="4"/>
      <c r="C215" s="5"/>
      <c r="D215" s="4"/>
      <c r="E215" s="4"/>
    </row>
    <row r="216" ht="15.75" customHeight="1">
      <c r="A216" s="4"/>
      <c r="B216" s="4"/>
      <c r="C216" s="5"/>
      <c r="D216" s="4"/>
      <c r="E216" s="4"/>
    </row>
    <row r="217" ht="15.75" customHeight="1">
      <c r="A217" s="4"/>
      <c r="B217" s="4"/>
      <c r="C217" s="5"/>
      <c r="D217" s="4"/>
      <c r="E217" s="4"/>
    </row>
    <row r="218" ht="15.75" customHeight="1">
      <c r="A218" s="4"/>
      <c r="B218" s="4"/>
      <c r="C218" s="5"/>
      <c r="D218" s="4"/>
      <c r="E218" s="4"/>
    </row>
    <row r="219" ht="15.75" customHeight="1">
      <c r="A219" s="4"/>
      <c r="B219" s="4"/>
      <c r="C219" s="5"/>
      <c r="D219" s="4"/>
      <c r="E219" s="4"/>
    </row>
    <row r="220" ht="15.75" customHeight="1">
      <c r="A220" s="4"/>
      <c r="B220" s="4"/>
      <c r="C220" s="5"/>
      <c r="D220" s="4"/>
      <c r="E220" s="4"/>
    </row>
    <row r="221" ht="15.75" customHeight="1">
      <c r="A221" s="4"/>
      <c r="B221" s="4"/>
      <c r="C221" s="5"/>
      <c r="D221" s="4"/>
      <c r="E221" s="4"/>
    </row>
    <row r="222" ht="15.75" customHeight="1">
      <c r="A222" s="4"/>
      <c r="B222" s="4"/>
      <c r="C222" s="5"/>
      <c r="D222" s="4"/>
      <c r="E222" s="4"/>
    </row>
    <row r="223" ht="15.75" customHeight="1">
      <c r="A223" s="4"/>
      <c r="B223" s="4"/>
      <c r="C223" s="5"/>
      <c r="D223" s="4"/>
      <c r="E223" s="4"/>
    </row>
    <row r="224" ht="15.75" customHeight="1">
      <c r="A224" s="4"/>
      <c r="B224" s="4"/>
      <c r="C224" s="5"/>
      <c r="D224" s="4"/>
      <c r="E224" s="4"/>
    </row>
    <row r="225" ht="15.75" customHeight="1">
      <c r="A225" s="4"/>
      <c r="B225" s="4"/>
      <c r="C225" s="5"/>
      <c r="D225" s="4"/>
      <c r="E225" s="4"/>
    </row>
    <row r="226" ht="15.75" customHeight="1">
      <c r="A226" s="4"/>
      <c r="B226" s="4"/>
      <c r="C226" s="5"/>
      <c r="D226" s="4"/>
      <c r="E226" s="4"/>
    </row>
    <row r="227" ht="15.75" customHeight="1">
      <c r="A227" s="4"/>
      <c r="B227" s="4"/>
      <c r="C227" s="5"/>
      <c r="D227" s="4"/>
      <c r="E227" s="4"/>
    </row>
    <row r="228" ht="15.75" customHeight="1">
      <c r="A228" s="4"/>
      <c r="B228" s="4"/>
      <c r="C228" s="5"/>
      <c r="D228" s="4"/>
      <c r="E228" s="4"/>
    </row>
    <row r="229" ht="15.75" customHeight="1">
      <c r="A229" s="4"/>
      <c r="B229" s="4"/>
      <c r="C229" s="5"/>
      <c r="D229" s="4"/>
      <c r="E229" s="4"/>
    </row>
    <row r="230" ht="15.75" customHeight="1">
      <c r="A230" s="4"/>
      <c r="B230" s="4"/>
      <c r="C230" s="5"/>
      <c r="D230" s="4"/>
      <c r="E230" s="4"/>
    </row>
    <row r="231" ht="15.75" customHeight="1">
      <c r="A231" s="4"/>
      <c r="B231" s="4"/>
      <c r="C231" s="5"/>
      <c r="D231" s="4"/>
      <c r="E231" s="4"/>
    </row>
    <row r="232" ht="15.75" customHeight="1">
      <c r="A232" s="4"/>
      <c r="B232" s="4"/>
      <c r="C232" s="5"/>
      <c r="D232" s="4"/>
      <c r="E232" s="4"/>
    </row>
    <row r="233" ht="15.75" customHeight="1">
      <c r="A233" s="4"/>
      <c r="B233" s="4"/>
      <c r="C233" s="5"/>
      <c r="D233" s="4"/>
      <c r="E233" s="4"/>
    </row>
    <row r="234" ht="15.75" customHeight="1">
      <c r="A234" s="4"/>
      <c r="B234" s="4"/>
      <c r="C234" s="5"/>
      <c r="D234" s="4"/>
      <c r="E234" s="4"/>
    </row>
    <row r="235" ht="15.75" customHeight="1">
      <c r="A235" s="4"/>
      <c r="B235" s="4"/>
      <c r="C235" s="5"/>
      <c r="D235" s="4"/>
      <c r="E235" s="4"/>
    </row>
    <row r="236" ht="15.75" customHeight="1">
      <c r="A236" s="4"/>
      <c r="B236" s="4"/>
      <c r="C236" s="5"/>
      <c r="D236" s="4"/>
      <c r="E236" s="4"/>
    </row>
    <row r="237" ht="15.75" customHeight="1">
      <c r="A237" s="4"/>
      <c r="B237" s="4"/>
      <c r="C237" s="5"/>
      <c r="D237" s="4"/>
      <c r="E237" s="4"/>
    </row>
    <row r="238" ht="15.75" customHeight="1">
      <c r="A238" s="4"/>
      <c r="B238" s="4"/>
      <c r="C238" s="5"/>
      <c r="D238" s="4"/>
      <c r="E238" s="4"/>
    </row>
    <row r="239" ht="15.75" customHeight="1">
      <c r="A239" s="4"/>
      <c r="B239" s="4"/>
      <c r="C239" s="5"/>
      <c r="D239" s="4"/>
      <c r="E239" s="4"/>
    </row>
    <row r="240" ht="15.75" customHeight="1">
      <c r="A240" s="4"/>
      <c r="B240" s="4"/>
      <c r="C240" s="5"/>
      <c r="D240" s="4"/>
      <c r="E240" s="4"/>
    </row>
    <row r="241" ht="15.75" customHeight="1">
      <c r="A241" s="4"/>
      <c r="B241" s="4"/>
      <c r="C241" s="5"/>
      <c r="D241" s="4"/>
      <c r="E241" s="4"/>
    </row>
    <row r="242" ht="15.75" customHeight="1">
      <c r="A242" s="4"/>
      <c r="B242" s="4"/>
      <c r="C242" s="5"/>
      <c r="D242" s="4"/>
      <c r="E242" s="4"/>
    </row>
    <row r="243" ht="15.75" customHeight="1">
      <c r="A243" s="4"/>
      <c r="B243" s="4"/>
      <c r="C243" s="5"/>
      <c r="D243" s="4"/>
      <c r="E243" s="4"/>
    </row>
    <row r="244" ht="15.75" customHeight="1">
      <c r="A244" s="4"/>
      <c r="B244" s="4"/>
      <c r="C244" s="5"/>
      <c r="D244" s="4"/>
      <c r="E244" s="4"/>
    </row>
    <row r="245" ht="15.75" customHeight="1">
      <c r="A245" s="4"/>
      <c r="B245" s="4"/>
      <c r="C245" s="5"/>
      <c r="D245" s="4"/>
      <c r="E245" s="4"/>
    </row>
    <row r="246" ht="15.75" customHeight="1">
      <c r="A246" s="4"/>
      <c r="B246" s="4"/>
      <c r="C246" s="5"/>
      <c r="D246" s="4"/>
      <c r="E246" s="4"/>
    </row>
    <row r="247" ht="15.75" customHeight="1">
      <c r="A247" s="4"/>
      <c r="B247" s="4"/>
      <c r="C247" s="5"/>
      <c r="D247" s="4"/>
      <c r="E247" s="4"/>
    </row>
    <row r="248" ht="15.75" customHeight="1">
      <c r="A248" s="4"/>
      <c r="B248" s="4"/>
      <c r="C248" s="5"/>
      <c r="D248" s="4"/>
      <c r="E248" s="4"/>
    </row>
    <row r="249" ht="15.75" customHeight="1">
      <c r="A249" s="4"/>
      <c r="B249" s="4"/>
      <c r="C249" s="5"/>
      <c r="D249" s="4"/>
      <c r="E249" s="4"/>
    </row>
    <row r="250" ht="15.75" customHeight="1">
      <c r="A250" s="4"/>
      <c r="B250" s="4"/>
      <c r="C250" s="5"/>
      <c r="D250" s="4"/>
      <c r="E250" s="4"/>
    </row>
    <row r="251" ht="15.75" customHeight="1">
      <c r="A251" s="4"/>
      <c r="B251" s="4"/>
      <c r="C251" s="5"/>
      <c r="D251" s="4"/>
      <c r="E251" s="4"/>
    </row>
    <row r="252" ht="15.75" customHeight="1">
      <c r="A252" s="4"/>
      <c r="B252" s="4"/>
      <c r="C252" s="5"/>
      <c r="D252" s="4"/>
      <c r="E252" s="4"/>
    </row>
    <row r="253" ht="15.75" customHeight="1">
      <c r="A253" s="4"/>
      <c r="B253" s="4"/>
      <c r="C253" s="5"/>
      <c r="D253" s="4"/>
      <c r="E253" s="4"/>
    </row>
    <row r="254" ht="15.75" customHeight="1">
      <c r="A254" s="4"/>
      <c r="B254" s="4"/>
      <c r="C254" s="5"/>
      <c r="D254" s="4"/>
      <c r="E254" s="4"/>
    </row>
    <row r="255" ht="15.75" customHeight="1">
      <c r="A255" s="4"/>
      <c r="B255" s="4"/>
      <c r="C255" s="5"/>
      <c r="D255" s="4"/>
      <c r="E255" s="4"/>
    </row>
    <row r="256" ht="15.75" customHeight="1">
      <c r="A256" s="4"/>
      <c r="B256" s="4"/>
      <c r="C256" s="5"/>
      <c r="D256" s="4"/>
      <c r="E256" s="4"/>
    </row>
    <row r="257" ht="15.75" customHeight="1">
      <c r="A257" s="4"/>
      <c r="B257" s="4"/>
      <c r="C257" s="5"/>
      <c r="D257" s="4"/>
      <c r="E257" s="4"/>
    </row>
    <row r="258" ht="15.75" customHeight="1">
      <c r="A258" s="4"/>
      <c r="B258" s="4"/>
      <c r="C258" s="5"/>
      <c r="D258" s="4"/>
      <c r="E258" s="4"/>
    </row>
    <row r="259" ht="15.75" customHeight="1">
      <c r="A259" s="4"/>
      <c r="B259" s="4"/>
      <c r="C259" s="5"/>
      <c r="D259" s="4"/>
      <c r="E259" s="4"/>
    </row>
    <row r="260" ht="15.75" customHeight="1">
      <c r="A260" s="4"/>
      <c r="B260" s="4"/>
      <c r="C260" s="5"/>
      <c r="D260" s="4"/>
      <c r="E260" s="4"/>
    </row>
    <row r="261" ht="15.75" customHeight="1">
      <c r="A261" s="4"/>
      <c r="B261" s="4"/>
      <c r="C261" s="5"/>
      <c r="D261" s="4"/>
      <c r="E261" s="4"/>
    </row>
    <row r="262" ht="15.75" customHeight="1">
      <c r="A262" s="4"/>
      <c r="B262" s="4"/>
      <c r="C262" s="5"/>
      <c r="D262" s="4"/>
      <c r="E262" s="4"/>
    </row>
    <row r="263" ht="15.75" customHeight="1">
      <c r="A263" s="4"/>
      <c r="B263" s="4"/>
      <c r="C263" s="5"/>
      <c r="D263" s="4"/>
      <c r="E263" s="4"/>
    </row>
    <row r="264" ht="15.75" customHeight="1">
      <c r="A264" s="4"/>
      <c r="B264" s="4"/>
      <c r="C264" s="5"/>
      <c r="D264" s="4"/>
      <c r="E264" s="4"/>
    </row>
    <row r="265" ht="15.75" customHeight="1">
      <c r="A265" s="4"/>
      <c r="B265" s="4"/>
      <c r="C265" s="5"/>
      <c r="D265" s="4"/>
      <c r="E265" s="4"/>
    </row>
    <row r="266" ht="15.75" customHeight="1">
      <c r="A266" s="4"/>
      <c r="B266" s="4"/>
      <c r="C266" s="5"/>
      <c r="D266" s="4"/>
      <c r="E266" s="4"/>
    </row>
    <row r="267" ht="15.75" customHeight="1">
      <c r="A267" s="4"/>
      <c r="B267" s="4"/>
      <c r="C267" s="5"/>
      <c r="D267" s="4"/>
      <c r="E267" s="4"/>
    </row>
    <row r="268" ht="15.75" customHeight="1">
      <c r="A268" s="4"/>
      <c r="B268" s="4"/>
      <c r="C268" s="5"/>
      <c r="D268" s="4"/>
      <c r="E268" s="4"/>
    </row>
    <row r="269" ht="15.75" customHeight="1">
      <c r="A269" s="4"/>
      <c r="B269" s="4"/>
      <c r="C269" s="5"/>
      <c r="D269" s="4"/>
      <c r="E269" s="4"/>
    </row>
    <row r="270" ht="15.75" customHeight="1">
      <c r="A270" s="4"/>
      <c r="B270" s="4"/>
      <c r="C270" s="5"/>
      <c r="D270" s="4"/>
      <c r="E270" s="4"/>
    </row>
    <row r="271" ht="15.75" customHeight="1">
      <c r="A271" s="4"/>
      <c r="B271" s="4"/>
      <c r="C271" s="5"/>
      <c r="D271" s="4"/>
      <c r="E271" s="4"/>
    </row>
    <row r="272" ht="15.75" customHeight="1">
      <c r="A272" s="4"/>
      <c r="B272" s="4"/>
      <c r="C272" s="5"/>
      <c r="D272" s="4"/>
      <c r="E272" s="4"/>
    </row>
    <row r="273" ht="15.75" customHeight="1">
      <c r="A273" s="4"/>
      <c r="B273" s="4"/>
      <c r="C273" s="5"/>
      <c r="D273" s="4"/>
      <c r="E273" s="4"/>
    </row>
    <row r="274" ht="15.75" customHeight="1">
      <c r="A274" s="4"/>
      <c r="B274" s="4"/>
      <c r="C274" s="5"/>
      <c r="D274" s="4"/>
      <c r="E274" s="4"/>
    </row>
    <row r="275" ht="15.75" customHeight="1">
      <c r="A275" s="4"/>
      <c r="B275" s="4"/>
      <c r="C275" s="5"/>
      <c r="D275" s="4"/>
      <c r="E275" s="4"/>
    </row>
    <row r="276" ht="15.75" customHeight="1">
      <c r="A276" s="4"/>
      <c r="B276" s="4"/>
      <c r="C276" s="5"/>
      <c r="D276" s="4"/>
      <c r="E276" s="4"/>
    </row>
    <row r="277" ht="15.75" customHeight="1">
      <c r="A277" s="4"/>
      <c r="B277" s="4"/>
      <c r="C277" s="5"/>
      <c r="D277" s="4"/>
      <c r="E277" s="4"/>
    </row>
    <row r="278" ht="15.75" customHeight="1">
      <c r="A278" s="4"/>
      <c r="B278" s="4"/>
      <c r="C278" s="5"/>
      <c r="D278" s="4"/>
      <c r="E278" s="4"/>
    </row>
    <row r="279" ht="15.75" customHeight="1">
      <c r="A279" s="4"/>
      <c r="B279" s="4"/>
      <c r="C279" s="5"/>
      <c r="D279" s="4"/>
      <c r="E279" s="4"/>
    </row>
    <row r="280" ht="15.75" customHeight="1">
      <c r="A280" s="4"/>
      <c r="B280" s="4"/>
      <c r="C280" s="5"/>
      <c r="D280" s="4"/>
      <c r="E280" s="4"/>
    </row>
    <row r="281" ht="15.75" customHeight="1">
      <c r="A281" s="4"/>
      <c r="B281" s="4"/>
      <c r="C281" s="5"/>
      <c r="D281" s="4"/>
      <c r="E281" s="4"/>
    </row>
    <row r="282" ht="15.75" customHeight="1">
      <c r="A282" s="4"/>
      <c r="B282" s="4"/>
      <c r="C282" s="5"/>
      <c r="D282" s="4"/>
      <c r="E282" s="4"/>
    </row>
    <row r="283" ht="15.75" customHeight="1">
      <c r="A283" s="4"/>
      <c r="B283" s="4"/>
      <c r="C283" s="5"/>
      <c r="D283" s="4"/>
      <c r="E283" s="4"/>
    </row>
    <row r="284" ht="15.75" customHeight="1">
      <c r="A284" s="4"/>
      <c r="B284" s="4"/>
      <c r="C284" s="5"/>
      <c r="D284" s="4"/>
      <c r="E284" s="4"/>
    </row>
    <row r="285" ht="15.75" customHeight="1">
      <c r="A285" s="4"/>
      <c r="B285" s="4"/>
      <c r="C285" s="5"/>
      <c r="D285" s="4"/>
      <c r="E285" s="4"/>
    </row>
    <row r="286" ht="15.75" customHeight="1">
      <c r="A286" s="4"/>
      <c r="B286" s="4"/>
      <c r="C286" s="5"/>
      <c r="D286" s="4"/>
      <c r="E286" s="4"/>
    </row>
    <row r="287" ht="15.75" customHeight="1">
      <c r="A287" s="4"/>
      <c r="B287" s="4"/>
      <c r="C287" s="5"/>
      <c r="D287" s="4"/>
      <c r="E287" s="4"/>
    </row>
    <row r="288" ht="15.75" customHeight="1">
      <c r="A288" s="4"/>
      <c r="B288" s="4"/>
      <c r="C288" s="5"/>
      <c r="D288" s="4"/>
      <c r="E288" s="4"/>
    </row>
    <row r="289" ht="15.75" customHeight="1">
      <c r="A289" s="4"/>
      <c r="B289" s="4"/>
      <c r="C289" s="5"/>
      <c r="D289" s="4"/>
      <c r="E289" s="4"/>
    </row>
    <row r="290" ht="15.75" customHeight="1">
      <c r="A290" s="4"/>
      <c r="B290" s="4"/>
      <c r="C290" s="5"/>
      <c r="D290" s="4"/>
      <c r="E290" s="4"/>
    </row>
    <row r="291" ht="15.75" customHeight="1">
      <c r="A291" s="4"/>
      <c r="B291" s="4"/>
      <c r="C291" s="5"/>
      <c r="D291" s="4"/>
      <c r="E291" s="4"/>
    </row>
    <row r="292" ht="15.75" customHeight="1">
      <c r="A292" s="4"/>
      <c r="B292" s="4"/>
      <c r="C292" s="5"/>
      <c r="D292" s="4"/>
      <c r="E292" s="4"/>
    </row>
    <row r="293" ht="15.75" customHeight="1">
      <c r="A293" s="4"/>
      <c r="B293" s="4"/>
      <c r="C293" s="5"/>
      <c r="D293" s="4"/>
      <c r="E293" s="4"/>
    </row>
    <row r="294" ht="15.75" customHeight="1">
      <c r="A294" s="4"/>
      <c r="B294" s="4"/>
      <c r="C294" s="5"/>
      <c r="D294" s="4"/>
      <c r="E294" s="4"/>
    </row>
    <row r="295" ht="15.75" customHeight="1">
      <c r="A295" s="4"/>
      <c r="B295" s="4"/>
      <c r="C295" s="5"/>
      <c r="D295" s="4"/>
      <c r="E295" s="4"/>
    </row>
    <row r="296" ht="15.75" customHeight="1">
      <c r="A296" s="4"/>
      <c r="B296" s="4"/>
      <c r="C296" s="5"/>
      <c r="D296" s="4"/>
      <c r="E296" s="4"/>
    </row>
    <row r="297" ht="15.75" customHeight="1">
      <c r="A297" s="4"/>
      <c r="B297" s="4"/>
      <c r="C297" s="5"/>
      <c r="D297" s="4"/>
      <c r="E297" s="4"/>
    </row>
    <row r="298" ht="15.75" customHeight="1">
      <c r="A298" s="4"/>
      <c r="B298" s="4"/>
      <c r="C298" s="5"/>
      <c r="D298" s="4"/>
      <c r="E298" s="4"/>
    </row>
    <row r="299" ht="15.75" customHeight="1">
      <c r="A299" s="4"/>
      <c r="B299" s="4"/>
      <c r="C299" s="5"/>
      <c r="D299" s="4"/>
      <c r="E299" s="4"/>
    </row>
    <row r="300" ht="15.75" customHeight="1">
      <c r="A300" s="4"/>
      <c r="B300" s="4"/>
      <c r="C300" s="5"/>
      <c r="D300" s="4"/>
      <c r="E300" s="4"/>
    </row>
    <row r="301" ht="15.75" customHeight="1">
      <c r="A301" s="4"/>
      <c r="B301" s="4"/>
      <c r="C301" s="5"/>
      <c r="D301" s="4"/>
      <c r="E301" s="4"/>
    </row>
    <row r="302" ht="15.75" customHeight="1">
      <c r="A302" s="4"/>
      <c r="B302" s="4"/>
      <c r="C302" s="5"/>
      <c r="D302" s="4"/>
      <c r="E302" s="4"/>
    </row>
    <row r="303" ht="15.75" customHeight="1">
      <c r="A303" s="4"/>
      <c r="B303" s="4"/>
      <c r="C303" s="5"/>
      <c r="D303" s="4"/>
      <c r="E303" s="4"/>
    </row>
    <row r="304" ht="15.75" customHeight="1">
      <c r="A304" s="4"/>
      <c r="B304" s="4"/>
      <c r="C304" s="5"/>
      <c r="D304" s="4"/>
      <c r="E304" s="4"/>
    </row>
    <row r="305" ht="15.75" customHeight="1">
      <c r="A305" s="4"/>
      <c r="B305" s="4"/>
      <c r="C305" s="5"/>
      <c r="D305" s="4"/>
      <c r="E305" s="4"/>
    </row>
    <row r="306" ht="15.75" customHeight="1">
      <c r="A306" s="4"/>
      <c r="B306" s="4"/>
      <c r="C306" s="5"/>
      <c r="D306" s="4"/>
      <c r="E306" s="4"/>
    </row>
    <row r="307" ht="15.75" customHeight="1">
      <c r="A307" s="4"/>
      <c r="B307" s="4"/>
      <c r="C307" s="5"/>
      <c r="D307" s="4"/>
      <c r="E307" s="4"/>
    </row>
    <row r="308" ht="15.75" customHeight="1">
      <c r="A308" s="4"/>
      <c r="B308" s="4"/>
      <c r="C308" s="5"/>
      <c r="D308" s="4"/>
      <c r="E308" s="4"/>
    </row>
    <row r="309" ht="15.75" customHeight="1">
      <c r="A309" s="4"/>
      <c r="B309" s="4"/>
      <c r="C309" s="5"/>
      <c r="D309" s="4"/>
      <c r="E309" s="4"/>
    </row>
    <row r="310" ht="15.75" customHeight="1">
      <c r="A310" s="4"/>
      <c r="B310" s="4"/>
      <c r="C310" s="5"/>
      <c r="D310" s="4"/>
      <c r="E310" s="4"/>
    </row>
    <row r="311" ht="15.75" customHeight="1">
      <c r="A311" s="4"/>
      <c r="B311" s="4"/>
      <c r="C311" s="5"/>
      <c r="D311" s="4"/>
      <c r="E311" s="4"/>
    </row>
    <row r="312" ht="15.75" customHeight="1">
      <c r="A312" s="4"/>
      <c r="B312" s="4"/>
      <c r="C312" s="5"/>
      <c r="D312" s="4"/>
      <c r="E312" s="4"/>
    </row>
    <row r="313" ht="15.75" customHeight="1">
      <c r="A313" s="4"/>
      <c r="B313" s="4"/>
      <c r="C313" s="5"/>
      <c r="D313" s="4"/>
      <c r="E313" s="4"/>
    </row>
    <row r="314" ht="15.75" customHeight="1">
      <c r="A314" s="4"/>
      <c r="B314" s="4"/>
      <c r="C314" s="5"/>
      <c r="D314" s="4"/>
      <c r="E314" s="4"/>
    </row>
    <row r="315" ht="15.75" customHeight="1">
      <c r="A315" s="4"/>
      <c r="B315" s="4"/>
      <c r="C315" s="5"/>
      <c r="D315" s="4"/>
      <c r="E315" s="4"/>
    </row>
    <row r="316" ht="15.75" customHeight="1">
      <c r="A316" s="4"/>
      <c r="B316" s="4"/>
      <c r="C316" s="5"/>
      <c r="D316" s="4"/>
      <c r="E316" s="4"/>
    </row>
    <row r="317" ht="15.75" customHeight="1">
      <c r="A317" s="4"/>
      <c r="B317" s="4"/>
      <c r="C317" s="5"/>
      <c r="D317" s="4"/>
      <c r="E317" s="4"/>
    </row>
    <row r="318" ht="15.75" customHeight="1">
      <c r="A318" s="4"/>
      <c r="B318" s="4"/>
      <c r="C318" s="5"/>
      <c r="D318" s="4"/>
      <c r="E318" s="4"/>
    </row>
    <row r="319" ht="15.75" customHeight="1">
      <c r="A319" s="4"/>
      <c r="B319" s="4"/>
      <c r="C319" s="5"/>
      <c r="D319" s="4"/>
      <c r="E319" s="4"/>
    </row>
    <row r="320" ht="15.75" customHeight="1">
      <c r="A320" s="4"/>
      <c r="B320" s="4"/>
      <c r="C320" s="5"/>
      <c r="D320" s="4"/>
      <c r="E320" s="4"/>
    </row>
    <row r="321" ht="15.75" customHeight="1">
      <c r="A321" s="4"/>
      <c r="B321" s="4"/>
      <c r="C321" s="5"/>
      <c r="D321" s="4"/>
      <c r="E321" s="4"/>
    </row>
    <row r="322" ht="15.75" customHeight="1">
      <c r="A322" s="4"/>
      <c r="B322" s="4"/>
      <c r="C322" s="5"/>
      <c r="D322" s="4"/>
      <c r="E322" s="4"/>
    </row>
    <row r="323" ht="15.75" customHeight="1">
      <c r="A323" s="4"/>
      <c r="B323" s="4"/>
      <c r="C323" s="5"/>
      <c r="D323" s="4"/>
      <c r="E323" s="4"/>
    </row>
    <row r="324" ht="15.75" customHeight="1">
      <c r="A324" s="4"/>
      <c r="B324" s="4"/>
      <c r="C324" s="5"/>
      <c r="D324" s="4"/>
      <c r="E324" s="4"/>
    </row>
    <row r="325" ht="15.75" customHeight="1">
      <c r="A325" s="4"/>
      <c r="B325" s="4"/>
      <c r="C325" s="5"/>
      <c r="D325" s="4"/>
      <c r="E325" s="4"/>
    </row>
    <row r="326" ht="15.75" customHeight="1">
      <c r="A326" s="4"/>
      <c r="B326" s="4"/>
      <c r="C326" s="5"/>
      <c r="D326" s="4"/>
      <c r="E326" s="4"/>
    </row>
    <row r="327" ht="15.75" customHeight="1">
      <c r="A327" s="4"/>
      <c r="B327" s="4"/>
      <c r="C327" s="5"/>
      <c r="D327" s="4"/>
      <c r="E327" s="4"/>
    </row>
    <row r="328" ht="15.75" customHeight="1">
      <c r="A328" s="4"/>
      <c r="B328" s="4"/>
      <c r="C328" s="5"/>
      <c r="D328" s="4"/>
      <c r="E328" s="4"/>
    </row>
    <row r="329" ht="15.75" customHeight="1">
      <c r="A329" s="4"/>
      <c r="B329" s="4"/>
      <c r="C329" s="5"/>
      <c r="D329" s="4"/>
      <c r="E329" s="4"/>
    </row>
    <row r="330" ht="15.75" customHeight="1">
      <c r="A330" s="4"/>
      <c r="B330" s="4"/>
      <c r="C330" s="5"/>
      <c r="D330" s="4"/>
      <c r="E330" s="4"/>
    </row>
    <row r="331" ht="15.75" customHeight="1">
      <c r="A331" s="4"/>
      <c r="B331" s="4"/>
      <c r="C331" s="5"/>
      <c r="D331" s="4"/>
      <c r="E331" s="4"/>
    </row>
    <row r="332" ht="15.75" customHeight="1">
      <c r="A332" s="4"/>
      <c r="B332" s="4"/>
      <c r="C332" s="5"/>
      <c r="D332" s="4"/>
      <c r="E332" s="4"/>
    </row>
    <row r="333" ht="15.75" customHeight="1">
      <c r="A333" s="4"/>
      <c r="B333" s="4"/>
      <c r="C333" s="5"/>
      <c r="D333" s="4"/>
      <c r="E333" s="4"/>
    </row>
    <row r="334" ht="15.75" customHeight="1">
      <c r="A334" s="4"/>
      <c r="B334" s="4"/>
      <c r="C334" s="5"/>
      <c r="D334" s="4"/>
      <c r="E334" s="4"/>
    </row>
    <row r="335" ht="15.75" customHeight="1">
      <c r="A335" s="4"/>
      <c r="B335" s="4"/>
      <c r="C335" s="5"/>
      <c r="D335" s="4"/>
      <c r="E335" s="4"/>
    </row>
    <row r="336" ht="15.75" customHeight="1">
      <c r="A336" s="4"/>
      <c r="B336" s="4"/>
      <c r="C336" s="5"/>
      <c r="D336" s="4"/>
      <c r="E336" s="4"/>
    </row>
    <row r="337" ht="15.75" customHeight="1">
      <c r="A337" s="4"/>
      <c r="B337" s="4"/>
      <c r="C337" s="5"/>
      <c r="D337" s="4"/>
      <c r="E337" s="4"/>
    </row>
    <row r="338" ht="15.75" customHeight="1">
      <c r="A338" s="4"/>
      <c r="B338" s="4"/>
      <c r="C338" s="5"/>
      <c r="D338" s="4"/>
      <c r="E338" s="4"/>
    </row>
    <row r="339" ht="15.75" customHeight="1">
      <c r="A339" s="4"/>
      <c r="B339" s="4"/>
      <c r="C339" s="5"/>
      <c r="D339" s="4"/>
      <c r="E339" s="4"/>
    </row>
    <row r="340" ht="15.75" customHeight="1">
      <c r="A340" s="4"/>
      <c r="B340" s="4"/>
      <c r="C340" s="5"/>
      <c r="D340" s="4"/>
      <c r="E340" s="4"/>
    </row>
    <row r="341" ht="15.75" customHeight="1">
      <c r="A341" s="4"/>
      <c r="B341" s="4"/>
      <c r="C341" s="5"/>
      <c r="D341" s="4"/>
      <c r="E341" s="4"/>
    </row>
    <row r="342" ht="15.75" customHeight="1">
      <c r="A342" s="4"/>
      <c r="B342" s="4"/>
      <c r="C342" s="5"/>
      <c r="D342" s="4"/>
      <c r="E342" s="4"/>
    </row>
    <row r="343" ht="15.75" customHeight="1">
      <c r="A343" s="4"/>
      <c r="B343" s="4"/>
      <c r="C343" s="5"/>
      <c r="D343" s="4"/>
      <c r="E343" s="4"/>
    </row>
    <row r="344" ht="15.75" customHeight="1">
      <c r="A344" s="4"/>
      <c r="B344" s="4"/>
      <c r="C344" s="5"/>
      <c r="D344" s="4"/>
      <c r="E344" s="4"/>
    </row>
    <row r="345" ht="15.75" customHeight="1">
      <c r="A345" s="4"/>
      <c r="B345" s="4"/>
      <c r="C345" s="5"/>
      <c r="D345" s="4"/>
      <c r="E345" s="4"/>
    </row>
    <row r="346" ht="15.75" customHeight="1">
      <c r="A346" s="4"/>
      <c r="B346" s="4"/>
      <c r="C346" s="5"/>
      <c r="D346" s="4"/>
      <c r="E346" s="4"/>
    </row>
    <row r="347" ht="15.75" customHeight="1">
      <c r="A347" s="4"/>
      <c r="B347" s="4"/>
      <c r="C347" s="5"/>
      <c r="D347" s="4"/>
      <c r="E347" s="4"/>
    </row>
    <row r="348" ht="15.75" customHeight="1">
      <c r="A348" s="4"/>
      <c r="B348" s="4"/>
      <c r="C348" s="5"/>
      <c r="D348" s="4"/>
      <c r="E348" s="4"/>
    </row>
    <row r="349" ht="15.75" customHeight="1">
      <c r="A349" s="4"/>
      <c r="B349" s="4"/>
      <c r="C349" s="5"/>
      <c r="D349" s="4"/>
      <c r="E349" s="4"/>
    </row>
    <row r="350" ht="15.75" customHeight="1">
      <c r="A350" s="4"/>
      <c r="B350" s="4"/>
      <c r="C350" s="5"/>
      <c r="D350" s="4"/>
      <c r="E350" s="4"/>
    </row>
    <row r="351" ht="15.75" customHeight="1">
      <c r="A351" s="4"/>
      <c r="B351" s="4"/>
      <c r="C351" s="5"/>
      <c r="D351" s="4"/>
      <c r="E351" s="4"/>
    </row>
    <row r="352" ht="15.75" customHeight="1">
      <c r="A352" s="4"/>
      <c r="B352" s="4"/>
      <c r="C352" s="5"/>
      <c r="D352" s="4"/>
      <c r="E352" s="4"/>
    </row>
    <row r="353" ht="15.75" customHeight="1">
      <c r="A353" s="4"/>
      <c r="B353" s="4"/>
      <c r="C353" s="5"/>
      <c r="D353" s="4"/>
      <c r="E353" s="4"/>
    </row>
    <row r="354" ht="15.75" customHeight="1">
      <c r="A354" s="4"/>
      <c r="B354" s="4"/>
      <c r="C354" s="5"/>
      <c r="D354" s="4"/>
      <c r="E354" s="4"/>
    </row>
    <row r="355" ht="15.75" customHeight="1">
      <c r="A355" s="4"/>
      <c r="B355" s="4"/>
      <c r="C355" s="5"/>
      <c r="D355" s="4"/>
      <c r="E355" s="4"/>
    </row>
    <row r="356" ht="15.75" customHeight="1">
      <c r="A356" s="4"/>
      <c r="B356" s="4"/>
      <c r="C356" s="5"/>
      <c r="D356" s="4"/>
      <c r="E356" s="4"/>
    </row>
    <row r="357" ht="15.75" customHeight="1">
      <c r="A357" s="4"/>
      <c r="B357" s="4"/>
      <c r="C357" s="5"/>
      <c r="D357" s="4"/>
      <c r="E357" s="4"/>
    </row>
    <row r="358" ht="15.75" customHeight="1">
      <c r="A358" s="4"/>
      <c r="B358" s="4"/>
      <c r="C358" s="5"/>
      <c r="D358" s="4"/>
      <c r="E358" s="4"/>
    </row>
    <row r="359" ht="15.75" customHeight="1">
      <c r="A359" s="4"/>
      <c r="B359" s="4"/>
      <c r="C359" s="5"/>
      <c r="D359" s="4"/>
      <c r="E359" s="4"/>
    </row>
    <row r="360" ht="15.75" customHeight="1">
      <c r="A360" s="4"/>
      <c r="B360" s="4"/>
      <c r="C360" s="5"/>
      <c r="D360" s="4"/>
      <c r="E360" s="4"/>
    </row>
    <row r="361" ht="15.75" customHeight="1">
      <c r="A361" s="4"/>
      <c r="B361" s="4"/>
      <c r="C361" s="5"/>
      <c r="D361" s="4"/>
      <c r="E361" s="4"/>
    </row>
    <row r="362" ht="15.75" customHeight="1">
      <c r="A362" s="4"/>
      <c r="B362" s="4"/>
      <c r="C362" s="5"/>
      <c r="D362" s="4"/>
      <c r="E362" s="4"/>
    </row>
    <row r="363" ht="15.75" customHeight="1">
      <c r="A363" s="4"/>
      <c r="B363" s="4"/>
      <c r="C363" s="5"/>
      <c r="D363" s="4"/>
      <c r="E363" s="4"/>
    </row>
    <row r="364" ht="15.75" customHeight="1">
      <c r="A364" s="4"/>
      <c r="B364" s="4"/>
      <c r="C364" s="5"/>
      <c r="D364" s="4"/>
      <c r="E364" s="4"/>
    </row>
    <row r="365" ht="15.75" customHeight="1">
      <c r="A365" s="4"/>
      <c r="B365" s="4"/>
      <c r="C365" s="5"/>
      <c r="D365" s="4"/>
      <c r="E365" s="4"/>
    </row>
    <row r="366" ht="15.75" customHeight="1">
      <c r="A366" s="4"/>
      <c r="B366" s="4"/>
      <c r="C366" s="5"/>
      <c r="D366" s="4"/>
      <c r="E366" s="4"/>
    </row>
    <row r="367" ht="15.75" customHeight="1">
      <c r="A367" s="4"/>
      <c r="B367" s="4"/>
      <c r="C367" s="5"/>
      <c r="D367" s="4"/>
      <c r="E367" s="4"/>
    </row>
    <row r="368" ht="15.75" customHeight="1">
      <c r="A368" s="4"/>
      <c r="B368" s="4"/>
      <c r="C368" s="5"/>
      <c r="D368" s="4"/>
      <c r="E368" s="4"/>
    </row>
    <row r="369" ht="15.75" customHeight="1">
      <c r="A369" s="4"/>
      <c r="B369" s="4"/>
      <c r="C369" s="5"/>
      <c r="D369" s="4"/>
      <c r="E369" s="4"/>
    </row>
    <row r="370" ht="15.75" customHeight="1">
      <c r="A370" s="4"/>
      <c r="B370" s="4"/>
      <c r="C370" s="5"/>
      <c r="D370" s="4"/>
      <c r="E370" s="4"/>
    </row>
    <row r="371" ht="15.75" customHeight="1">
      <c r="A371" s="4"/>
      <c r="B371" s="4"/>
      <c r="C371" s="5"/>
      <c r="D371" s="4"/>
      <c r="E371" s="4"/>
    </row>
    <row r="372" ht="15.75" customHeight="1">
      <c r="A372" s="4"/>
      <c r="B372" s="4"/>
      <c r="C372" s="5"/>
      <c r="D372" s="4"/>
      <c r="E372" s="4"/>
    </row>
    <row r="373" ht="15.75" customHeight="1">
      <c r="A373" s="4"/>
      <c r="B373" s="4"/>
      <c r="C373" s="5"/>
      <c r="D373" s="4"/>
      <c r="E373" s="4"/>
    </row>
    <row r="374" ht="15.75" customHeight="1">
      <c r="A374" s="4"/>
      <c r="B374" s="4"/>
      <c r="C374" s="5"/>
      <c r="D374" s="4"/>
      <c r="E374" s="4"/>
    </row>
    <row r="375" ht="15.75" customHeight="1">
      <c r="A375" s="4"/>
      <c r="B375" s="4"/>
      <c r="C375" s="5"/>
      <c r="D375" s="4"/>
      <c r="E375" s="4"/>
    </row>
    <row r="376" ht="15.75" customHeight="1">
      <c r="A376" s="4"/>
      <c r="B376" s="4"/>
      <c r="C376" s="5"/>
      <c r="D376" s="4"/>
      <c r="E376" s="4"/>
    </row>
    <row r="377" ht="15.75" customHeight="1">
      <c r="A377" s="4"/>
      <c r="B377" s="4"/>
      <c r="C377" s="5"/>
      <c r="D377" s="4"/>
      <c r="E377" s="4"/>
    </row>
    <row r="378" ht="15.75" customHeight="1">
      <c r="A378" s="4"/>
      <c r="B378" s="4"/>
      <c r="C378" s="5"/>
      <c r="D378" s="4"/>
      <c r="E378" s="4"/>
    </row>
    <row r="379" ht="15.75" customHeight="1">
      <c r="A379" s="4"/>
      <c r="B379" s="4"/>
      <c r="C379" s="5"/>
      <c r="D379" s="4"/>
      <c r="E379" s="4"/>
    </row>
    <row r="380" ht="15.75" customHeight="1">
      <c r="A380" s="4"/>
      <c r="B380" s="4"/>
      <c r="C380" s="5"/>
      <c r="D380" s="4"/>
      <c r="E380" s="4"/>
    </row>
    <row r="381" ht="15.75" customHeight="1">
      <c r="A381" s="4"/>
      <c r="B381" s="4"/>
      <c r="C381" s="5"/>
      <c r="D381" s="4"/>
      <c r="E381" s="4"/>
    </row>
    <row r="382" ht="15.75" customHeight="1">
      <c r="A382" s="4"/>
      <c r="B382" s="4"/>
      <c r="C382" s="5"/>
      <c r="D382" s="4"/>
      <c r="E382" s="4"/>
    </row>
    <row r="383" ht="15.75" customHeight="1">
      <c r="A383" s="4"/>
      <c r="B383" s="4"/>
      <c r="C383" s="5"/>
      <c r="D383" s="4"/>
      <c r="E383" s="4"/>
    </row>
    <row r="384" ht="15.75" customHeight="1">
      <c r="A384" s="4"/>
      <c r="B384" s="4"/>
      <c r="C384" s="5"/>
      <c r="D384" s="4"/>
      <c r="E384" s="4"/>
    </row>
    <row r="385" ht="15.75" customHeight="1">
      <c r="A385" s="4"/>
      <c r="B385" s="4"/>
      <c r="C385" s="5"/>
      <c r="D385" s="4"/>
      <c r="E385" s="4"/>
    </row>
    <row r="386" ht="15.75" customHeight="1">
      <c r="A386" s="4"/>
      <c r="B386" s="4"/>
      <c r="C386" s="5"/>
      <c r="D386" s="4"/>
      <c r="E386" s="4"/>
    </row>
    <row r="387" ht="15.75" customHeight="1">
      <c r="A387" s="4"/>
      <c r="B387" s="4"/>
      <c r="C387" s="5"/>
      <c r="D387" s="4"/>
      <c r="E387" s="4"/>
    </row>
    <row r="388" ht="15.75" customHeight="1">
      <c r="A388" s="4"/>
      <c r="B388" s="4"/>
      <c r="C388" s="5"/>
      <c r="D388" s="4"/>
      <c r="E388" s="4"/>
    </row>
    <row r="389" ht="15.75" customHeight="1">
      <c r="A389" s="4"/>
      <c r="B389" s="4"/>
      <c r="C389" s="5"/>
      <c r="D389" s="4"/>
      <c r="E389" s="4"/>
    </row>
    <row r="390" ht="15.75" customHeight="1">
      <c r="A390" s="4"/>
      <c r="B390" s="4"/>
      <c r="C390" s="5"/>
      <c r="D390" s="4"/>
      <c r="E390" s="4"/>
    </row>
    <row r="391" ht="15.75" customHeight="1">
      <c r="A391" s="4"/>
      <c r="B391" s="4"/>
      <c r="C391" s="5"/>
      <c r="D391" s="4"/>
      <c r="E391" s="4"/>
    </row>
    <row r="392" ht="15.75" customHeight="1">
      <c r="A392" s="4"/>
      <c r="B392" s="4"/>
      <c r="C392" s="5"/>
      <c r="D392" s="4"/>
      <c r="E392" s="4"/>
    </row>
    <row r="393" ht="15.75" customHeight="1">
      <c r="A393" s="4"/>
      <c r="B393" s="4"/>
      <c r="C393" s="5"/>
      <c r="D393" s="4"/>
      <c r="E393" s="4"/>
    </row>
    <row r="394" ht="15.75" customHeight="1">
      <c r="A394" s="4"/>
      <c r="B394" s="4"/>
      <c r="C394" s="5"/>
      <c r="D394" s="4"/>
      <c r="E394" s="4"/>
    </row>
    <row r="395" ht="15.75" customHeight="1">
      <c r="A395" s="4"/>
      <c r="B395" s="4"/>
      <c r="C395" s="5"/>
      <c r="D395" s="4"/>
      <c r="E395" s="4"/>
    </row>
    <row r="396" ht="15.75" customHeight="1">
      <c r="A396" s="4"/>
      <c r="B396" s="4"/>
      <c r="C396" s="5"/>
      <c r="D396" s="4"/>
      <c r="E396" s="4"/>
    </row>
    <row r="397" ht="15.75" customHeight="1">
      <c r="A397" s="4"/>
      <c r="B397" s="4"/>
      <c r="C397" s="5"/>
      <c r="D397" s="4"/>
      <c r="E397" s="4"/>
    </row>
    <row r="398" ht="15.75" customHeight="1">
      <c r="A398" s="4"/>
      <c r="B398" s="4"/>
      <c r="C398" s="5"/>
      <c r="D398" s="4"/>
      <c r="E398" s="4"/>
    </row>
    <row r="399" ht="15.75" customHeight="1">
      <c r="A399" s="4"/>
      <c r="B399" s="4"/>
      <c r="C399" s="5"/>
      <c r="D399" s="4"/>
      <c r="E399" s="4"/>
    </row>
    <row r="400" ht="15.75" customHeight="1">
      <c r="A400" s="4"/>
      <c r="B400" s="4"/>
      <c r="C400" s="5"/>
      <c r="D400" s="4"/>
      <c r="E400" s="4"/>
    </row>
    <row r="401" ht="15.75" customHeight="1">
      <c r="A401" s="4"/>
      <c r="B401" s="4"/>
      <c r="C401" s="5"/>
      <c r="D401" s="4"/>
      <c r="E401" s="4"/>
    </row>
    <row r="402" ht="15.75" customHeight="1">
      <c r="A402" s="4"/>
      <c r="B402" s="4"/>
      <c r="C402" s="5"/>
      <c r="D402" s="4"/>
      <c r="E402" s="4"/>
    </row>
    <row r="403" ht="15.75" customHeight="1">
      <c r="A403" s="4"/>
      <c r="B403" s="4"/>
      <c r="C403" s="5"/>
      <c r="D403" s="4"/>
      <c r="E403" s="4"/>
    </row>
    <row r="404" ht="15.75" customHeight="1">
      <c r="A404" s="4"/>
      <c r="B404" s="4"/>
      <c r="C404" s="5"/>
      <c r="D404" s="4"/>
      <c r="E404" s="4"/>
    </row>
    <row r="405" ht="15.75" customHeight="1">
      <c r="A405" s="4"/>
      <c r="B405" s="4"/>
      <c r="C405" s="5"/>
      <c r="D405" s="4"/>
      <c r="E405" s="4"/>
    </row>
    <row r="406" ht="15.75" customHeight="1">
      <c r="A406" s="4"/>
      <c r="B406" s="4"/>
      <c r="C406" s="5"/>
      <c r="D406" s="4"/>
      <c r="E406" s="4"/>
    </row>
    <row r="407" ht="15.75" customHeight="1">
      <c r="A407" s="4"/>
      <c r="B407" s="4"/>
      <c r="C407" s="5"/>
      <c r="D407" s="4"/>
      <c r="E407" s="4"/>
    </row>
    <row r="408" ht="15.75" customHeight="1">
      <c r="A408" s="4"/>
      <c r="B408" s="4"/>
      <c r="C408" s="5"/>
      <c r="D408" s="4"/>
      <c r="E408" s="4"/>
    </row>
    <row r="409" ht="15.75" customHeight="1">
      <c r="A409" s="4"/>
      <c r="B409" s="4"/>
      <c r="C409" s="5"/>
      <c r="D409" s="4"/>
      <c r="E409" s="4"/>
    </row>
    <row r="410" ht="15.75" customHeight="1">
      <c r="A410" s="4"/>
      <c r="B410" s="4"/>
      <c r="C410" s="5"/>
      <c r="D410" s="4"/>
      <c r="E410" s="4"/>
    </row>
    <row r="411" ht="15.75" customHeight="1">
      <c r="A411" s="4"/>
      <c r="B411" s="4"/>
      <c r="C411" s="5"/>
      <c r="D411" s="4"/>
      <c r="E411" s="4"/>
    </row>
    <row r="412" ht="15.75" customHeight="1">
      <c r="A412" s="4"/>
      <c r="B412" s="4"/>
      <c r="C412" s="5"/>
      <c r="D412" s="4"/>
      <c r="E412" s="4"/>
    </row>
    <row r="413" ht="15.75" customHeight="1">
      <c r="A413" s="4"/>
      <c r="B413" s="4"/>
      <c r="C413" s="5"/>
      <c r="D413" s="4"/>
      <c r="E413" s="4"/>
    </row>
    <row r="414" ht="15.75" customHeight="1">
      <c r="A414" s="4"/>
      <c r="B414" s="4"/>
      <c r="C414" s="5"/>
      <c r="D414" s="4"/>
      <c r="E414" s="4"/>
    </row>
    <row r="415" ht="15.75" customHeight="1">
      <c r="A415" s="4"/>
      <c r="B415" s="4"/>
      <c r="C415" s="5"/>
      <c r="D415" s="4"/>
      <c r="E415" s="4"/>
    </row>
    <row r="416" ht="15.75" customHeight="1">
      <c r="A416" s="4"/>
      <c r="B416" s="4"/>
      <c r="C416" s="5"/>
      <c r="D416" s="4"/>
      <c r="E416" s="4"/>
    </row>
    <row r="417" ht="15.75" customHeight="1">
      <c r="A417" s="4"/>
      <c r="B417" s="4"/>
      <c r="C417" s="5"/>
      <c r="D417" s="4"/>
      <c r="E417" s="4"/>
    </row>
    <row r="418" ht="15.75" customHeight="1">
      <c r="A418" s="4"/>
      <c r="B418" s="4"/>
      <c r="C418" s="5"/>
      <c r="D418" s="4"/>
      <c r="E418" s="4"/>
    </row>
    <row r="419" ht="15.75" customHeight="1">
      <c r="A419" s="4"/>
      <c r="B419" s="4"/>
      <c r="C419" s="5"/>
      <c r="D419" s="4"/>
      <c r="E419" s="4"/>
    </row>
    <row r="420" ht="15.75" customHeight="1">
      <c r="A420" s="4"/>
      <c r="B420" s="4"/>
      <c r="C420" s="5"/>
      <c r="D420" s="4"/>
      <c r="E420" s="4"/>
    </row>
    <row r="421" ht="15.75" customHeight="1">
      <c r="A421" s="4"/>
      <c r="B421" s="4"/>
      <c r="C421" s="5"/>
      <c r="D421" s="4"/>
      <c r="E421" s="4"/>
    </row>
    <row r="422" ht="15.75" customHeight="1">
      <c r="A422" s="4"/>
      <c r="B422" s="4"/>
      <c r="C422" s="5"/>
      <c r="D422" s="4"/>
      <c r="E422" s="4"/>
    </row>
    <row r="423" ht="15.75" customHeight="1">
      <c r="A423" s="4"/>
      <c r="B423" s="4"/>
      <c r="C423" s="5"/>
      <c r="D423" s="4"/>
      <c r="E423" s="4"/>
    </row>
    <row r="424" ht="15.75" customHeight="1">
      <c r="A424" s="4"/>
      <c r="B424" s="4"/>
      <c r="C424" s="5"/>
      <c r="D424" s="4"/>
      <c r="E424" s="4"/>
    </row>
    <row r="425" ht="15.75" customHeight="1">
      <c r="A425" s="4"/>
      <c r="B425" s="4"/>
      <c r="C425" s="5"/>
      <c r="D425" s="4"/>
      <c r="E425" s="4"/>
    </row>
    <row r="426" ht="15.75" customHeight="1">
      <c r="A426" s="4"/>
      <c r="B426" s="4"/>
      <c r="C426" s="5"/>
      <c r="D426" s="4"/>
      <c r="E426" s="4"/>
    </row>
    <row r="427" ht="15.75" customHeight="1">
      <c r="A427" s="4"/>
      <c r="B427" s="4"/>
      <c r="C427" s="5"/>
      <c r="D427" s="4"/>
      <c r="E427" s="4"/>
    </row>
    <row r="428" ht="15.75" customHeight="1">
      <c r="A428" s="4"/>
      <c r="B428" s="4"/>
      <c r="C428" s="5"/>
      <c r="D428" s="4"/>
      <c r="E428" s="4"/>
    </row>
    <row r="429" ht="15.75" customHeight="1">
      <c r="A429" s="4"/>
      <c r="B429" s="4"/>
      <c r="C429" s="5"/>
      <c r="D429" s="4"/>
      <c r="E429" s="4"/>
    </row>
    <row r="430" ht="15.75" customHeight="1">
      <c r="A430" s="4"/>
      <c r="B430" s="4"/>
      <c r="C430" s="5"/>
      <c r="D430" s="4"/>
      <c r="E430" s="4"/>
    </row>
    <row r="431" ht="15.75" customHeight="1">
      <c r="A431" s="4"/>
      <c r="B431" s="4"/>
      <c r="C431" s="5"/>
      <c r="D431" s="4"/>
      <c r="E431" s="4"/>
    </row>
    <row r="432" ht="15.75" customHeight="1">
      <c r="A432" s="4"/>
      <c r="B432" s="4"/>
      <c r="C432" s="5"/>
      <c r="D432" s="4"/>
      <c r="E432" s="4"/>
    </row>
    <row r="433" ht="15.75" customHeight="1">
      <c r="A433" s="4"/>
      <c r="B433" s="4"/>
      <c r="C433" s="5"/>
      <c r="D433" s="4"/>
      <c r="E433" s="4"/>
    </row>
    <row r="434" ht="15.75" customHeight="1">
      <c r="A434" s="4"/>
      <c r="B434" s="4"/>
      <c r="C434" s="5"/>
      <c r="D434" s="4"/>
      <c r="E434" s="4"/>
    </row>
    <row r="435" ht="15.75" customHeight="1">
      <c r="A435" s="4"/>
      <c r="B435" s="4"/>
      <c r="C435" s="5"/>
      <c r="D435" s="4"/>
      <c r="E435" s="4"/>
    </row>
    <row r="436" ht="15.75" customHeight="1">
      <c r="A436" s="4"/>
      <c r="B436" s="4"/>
      <c r="C436" s="5"/>
      <c r="D436" s="4"/>
      <c r="E436" s="4"/>
    </row>
    <row r="437" ht="15.75" customHeight="1">
      <c r="A437" s="4"/>
      <c r="B437" s="4"/>
      <c r="C437" s="5"/>
      <c r="D437" s="4"/>
      <c r="E437" s="4"/>
    </row>
    <row r="438" ht="15.75" customHeight="1">
      <c r="A438" s="4"/>
      <c r="B438" s="4"/>
      <c r="C438" s="5"/>
      <c r="D438" s="4"/>
      <c r="E438" s="4"/>
    </row>
    <row r="439" ht="15.75" customHeight="1">
      <c r="A439" s="4"/>
      <c r="B439" s="4"/>
      <c r="C439" s="5"/>
      <c r="D439" s="4"/>
      <c r="E439" s="4"/>
    </row>
    <row r="440" ht="15.75" customHeight="1">
      <c r="A440" s="4"/>
      <c r="B440" s="4"/>
      <c r="C440" s="5"/>
      <c r="D440" s="4"/>
      <c r="E440" s="4"/>
    </row>
    <row r="441" ht="15.75" customHeight="1">
      <c r="A441" s="4"/>
      <c r="B441" s="4"/>
      <c r="C441" s="5"/>
      <c r="D441" s="4"/>
      <c r="E441" s="4"/>
    </row>
    <row r="442" ht="15.75" customHeight="1">
      <c r="A442" s="4"/>
      <c r="B442" s="4"/>
      <c r="C442" s="5"/>
      <c r="D442" s="4"/>
      <c r="E442" s="4"/>
    </row>
    <row r="443" ht="15.75" customHeight="1">
      <c r="A443" s="4"/>
      <c r="B443" s="4"/>
      <c r="C443" s="5"/>
      <c r="D443" s="4"/>
      <c r="E443" s="4"/>
    </row>
    <row r="444" ht="15.75" customHeight="1">
      <c r="A444" s="4"/>
      <c r="B444" s="4"/>
      <c r="C444" s="5"/>
      <c r="D444" s="4"/>
      <c r="E444" s="4"/>
    </row>
    <row r="445" ht="15.75" customHeight="1">
      <c r="A445" s="4"/>
      <c r="B445" s="4"/>
      <c r="C445" s="5"/>
      <c r="D445" s="4"/>
      <c r="E445" s="4"/>
    </row>
    <row r="446" ht="15.75" customHeight="1">
      <c r="A446" s="4"/>
      <c r="B446" s="4"/>
      <c r="C446" s="5"/>
      <c r="D446" s="4"/>
      <c r="E446" s="4"/>
    </row>
    <row r="447" ht="15.75" customHeight="1">
      <c r="A447" s="4"/>
      <c r="B447" s="4"/>
      <c r="C447" s="5"/>
      <c r="D447" s="4"/>
      <c r="E447" s="4"/>
    </row>
    <row r="448" ht="15.75" customHeight="1">
      <c r="A448" s="4"/>
      <c r="B448" s="4"/>
      <c r="C448" s="5"/>
      <c r="D448" s="4"/>
      <c r="E448" s="4"/>
    </row>
    <row r="449" ht="15.75" customHeight="1">
      <c r="A449" s="4"/>
      <c r="B449" s="4"/>
      <c r="C449" s="5"/>
      <c r="D449" s="4"/>
      <c r="E449" s="4"/>
    </row>
    <row r="450" ht="15.75" customHeight="1">
      <c r="A450" s="4"/>
      <c r="B450" s="4"/>
      <c r="C450" s="5"/>
      <c r="D450" s="4"/>
      <c r="E450" s="4"/>
    </row>
    <row r="451" ht="15.75" customHeight="1">
      <c r="A451" s="4"/>
      <c r="B451" s="4"/>
      <c r="C451" s="5"/>
      <c r="D451" s="4"/>
      <c r="E451" s="4"/>
    </row>
    <row r="452" ht="15.75" customHeight="1">
      <c r="A452" s="4"/>
      <c r="B452" s="4"/>
      <c r="C452" s="5"/>
      <c r="D452" s="4"/>
      <c r="E452" s="4"/>
    </row>
    <row r="453" ht="15.75" customHeight="1">
      <c r="A453" s="4"/>
      <c r="B453" s="4"/>
      <c r="C453" s="5"/>
      <c r="D453" s="4"/>
      <c r="E453" s="4"/>
    </row>
    <row r="454" ht="15.75" customHeight="1">
      <c r="A454" s="4"/>
      <c r="B454" s="4"/>
      <c r="C454" s="5"/>
      <c r="D454" s="4"/>
      <c r="E454" s="4"/>
    </row>
    <row r="455" ht="15.75" customHeight="1">
      <c r="A455" s="4"/>
      <c r="B455" s="4"/>
      <c r="C455" s="5"/>
      <c r="D455" s="4"/>
      <c r="E455" s="4"/>
    </row>
    <row r="456" ht="15.75" customHeight="1">
      <c r="A456" s="4"/>
      <c r="B456" s="4"/>
      <c r="C456" s="5"/>
      <c r="D456" s="4"/>
      <c r="E456" s="4"/>
    </row>
    <row r="457" ht="15.75" customHeight="1">
      <c r="A457" s="4"/>
      <c r="B457" s="4"/>
      <c r="C457" s="5"/>
      <c r="D457" s="4"/>
      <c r="E457" s="4"/>
    </row>
    <row r="458" ht="15.75" customHeight="1">
      <c r="A458" s="4"/>
      <c r="B458" s="4"/>
      <c r="C458" s="5"/>
      <c r="D458" s="4"/>
      <c r="E458" s="4"/>
    </row>
    <row r="459" ht="15.75" customHeight="1">
      <c r="A459" s="4"/>
      <c r="B459" s="4"/>
      <c r="C459" s="5"/>
      <c r="D459" s="4"/>
      <c r="E459" s="4"/>
    </row>
    <row r="460" ht="15.75" customHeight="1">
      <c r="A460" s="4"/>
      <c r="B460" s="4"/>
      <c r="C460" s="5"/>
      <c r="D460" s="4"/>
      <c r="E460" s="4"/>
    </row>
    <row r="461" ht="15.75" customHeight="1">
      <c r="A461" s="4"/>
      <c r="B461" s="4"/>
      <c r="C461" s="5"/>
      <c r="D461" s="4"/>
      <c r="E461" s="4"/>
    </row>
    <row r="462" ht="15.75" customHeight="1">
      <c r="A462" s="4"/>
      <c r="B462" s="4"/>
      <c r="C462" s="5"/>
      <c r="D462" s="4"/>
      <c r="E462" s="4"/>
    </row>
    <row r="463" ht="15.75" customHeight="1">
      <c r="A463" s="4"/>
      <c r="B463" s="4"/>
      <c r="C463" s="5"/>
      <c r="D463" s="4"/>
      <c r="E463" s="4"/>
    </row>
    <row r="464" ht="15.75" customHeight="1">
      <c r="A464" s="4"/>
      <c r="B464" s="4"/>
      <c r="C464" s="5"/>
      <c r="D464" s="4"/>
      <c r="E464" s="4"/>
    </row>
    <row r="465" ht="15.75" customHeight="1">
      <c r="A465" s="4"/>
      <c r="B465" s="4"/>
      <c r="C465" s="5"/>
      <c r="D465" s="4"/>
      <c r="E465" s="4"/>
    </row>
    <row r="466" ht="15.75" customHeight="1">
      <c r="A466" s="4"/>
      <c r="B466" s="4"/>
      <c r="C466" s="5"/>
      <c r="D466" s="4"/>
      <c r="E466" s="4"/>
    </row>
    <row r="467" ht="15.75" customHeight="1">
      <c r="A467" s="4"/>
      <c r="B467" s="4"/>
      <c r="C467" s="5"/>
      <c r="D467" s="4"/>
      <c r="E467" s="4"/>
    </row>
    <row r="468" ht="15.75" customHeight="1">
      <c r="A468" s="4"/>
      <c r="B468" s="4"/>
      <c r="C468" s="5"/>
      <c r="D468" s="4"/>
      <c r="E468" s="4"/>
    </row>
    <row r="469" ht="15.75" customHeight="1">
      <c r="A469" s="4"/>
      <c r="B469" s="4"/>
      <c r="C469" s="5"/>
      <c r="D469" s="4"/>
      <c r="E469" s="4"/>
    </row>
    <row r="470" ht="15.75" customHeight="1">
      <c r="A470" s="4"/>
      <c r="B470" s="4"/>
      <c r="C470" s="5"/>
      <c r="D470" s="4"/>
      <c r="E470" s="4"/>
    </row>
    <row r="471" ht="15.75" customHeight="1">
      <c r="A471" s="4"/>
      <c r="B471" s="4"/>
      <c r="C471" s="5"/>
      <c r="D471" s="4"/>
      <c r="E471" s="4"/>
    </row>
    <row r="472" ht="15.75" customHeight="1">
      <c r="A472" s="4"/>
      <c r="B472" s="4"/>
      <c r="C472" s="5"/>
      <c r="D472" s="4"/>
      <c r="E472" s="4"/>
    </row>
    <row r="473" ht="15.75" customHeight="1">
      <c r="A473" s="4"/>
      <c r="B473" s="4"/>
      <c r="C473" s="5"/>
      <c r="D473" s="4"/>
      <c r="E473" s="4"/>
    </row>
    <row r="474" ht="15.75" customHeight="1">
      <c r="A474" s="4"/>
      <c r="B474" s="4"/>
      <c r="C474" s="5"/>
      <c r="D474" s="4"/>
      <c r="E474" s="4"/>
    </row>
    <row r="475" ht="15.75" customHeight="1">
      <c r="A475" s="4"/>
      <c r="B475" s="4"/>
      <c r="C475" s="5"/>
      <c r="D475" s="4"/>
      <c r="E475" s="4"/>
    </row>
    <row r="476" ht="15.75" customHeight="1">
      <c r="A476" s="4"/>
      <c r="B476" s="4"/>
      <c r="C476" s="5"/>
      <c r="D476" s="4"/>
      <c r="E476" s="4"/>
    </row>
    <row r="477" ht="15.75" customHeight="1">
      <c r="A477" s="4"/>
      <c r="B477" s="4"/>
      <c r="C477" s="5"/>
      <c r="D477" s="4"/>
      <c r="E477" s="4"/>
    </row>
    <row r="478" ht="15.75" customHeight="1">
      <c r="A478" s="4"/>
      <c r="B478" s="4"/>
      <c r="C478" s="5"/>
      <c r="D478" s="4"/>
      <c r="E478" s="4"/>
    </row>
    <row r="479" ht="15.75" customHeight="1">
      <c r="A479" s="4"/>
      <c r="B479" s="4"/>
      <c r="C479" s="5"/>
      <c r="D479" s="4"/>
      <c r="E479" s="4"/>
    </row>
    <row r="480" ht="15.75" customHeight="1">
      <c r="A480" s="4"/>
      <c r="B480" s="4"/>
      <c r="C480" s="5"/>
      <c r="D480" s="4"/>
      <c r="E480" s="4"/>
    </row>
    <row r="481" ht="15.75" customHeight="1">
      <c r="A481" s="4"/>
      <c r="B481" s="4"/>
      <c r="C481" s="5"/>
      <c r="D481" s="4"/>
      <c r="E481" s="4"/>
    </row>
    <row r="482" ht="15.75" customHeight="1">
      <c r="A482" s="4"/>
      <c r="B482" s="4"/>
      <c r="C482" s="5"/>
      <c r="D482" s="4"/>
      <c r="E482" s="4"/>
    </row>
    <row r="483" ht="15.75" customHeight="1">
      <c r="A483" s="4"/>
      <c r="B483" s="4"/>
      <c r="C483" s="5"/>
      <c r="D483" s="4"/>
      <c r="E483" s="4"/>
    </row>
    <row r="484" ht="15.75" customHeight="1">
      <c r="A484" s="4"/>
      <c r="B484" s="4"/>
      <c r="C484" s="5"/>
      <c r="D484" s="4"/>
      <c r="E484" s="4"/>
    </row>
    <row r="485" ht="15.75" customHeight="1">
      <c r="A485" s="4"/>
      <c r="B485" s="4"/>
      <c r="C485" s="5"/>
      <c r="D485" s="4"/>
      <c r="E485" s="4"/>
    </row>
    <row r="486" ht="15.75" customHeight="1">
      <c r="A486" s="4"/>
      <c r="B486" s="4"/>
      <c r="C486" s="5"/>
      <c r="D486" s="4"/>
      <c r="E486" s="4"/>
    </row>
    <row r="487" ht="15.75" customHeight="1">
      <c r="A487" s="4"/>
      <c r="B487" s="4"/>
      <c r="C487" s="5"/>
      <c r="D487" s="4"/>
      <c r="E487" s="4"/>
    </row>
    <row r="488" ht="15.75" customHeight="1">
      <c r="A488" s="4"/>
      <c r="B488" s="4"/>
      <c r="C488" s="5"/>
      <c r="D488" s="4"/>
      <c r="E488" s="4"/>
    </row>
    <row r="489" ht="15.75" customHeight="1">
      <c r="A489" s="4"/>
      <c r="B489" s="4"/>
      <c r="C489" s="5"/>
      <c r="D489" s="4"/>
      <c r="E489" s="4"/>
    </row>
    <row r="490" ht="15.75" customHeight="1">
      <c r="A490" s="4"/>
      <c r="B490" s="4"/>
      <c r="C490" s="5"/>
      <c r="D490" s="4"/>
      <c r="E490" s="4"/>
    </row>
    <row r="491" ht="15.75" customHeight="1">
      <c r="A491" s="4"/>
      <c r="B491" s="4"/>
      <c r="C491" s="5"/>
      <c r="D491" s="4"/>
      <c r="E491" s="4"/>
    </row>
    <row r="492" ht="15.75" customHeight="1">
      <c r="A492" s="4"/>
      <c r="B492" s="4"/>
      <c r="C492" s="5"/>
      <c r="D492" s="4"/>
      <c r="E492" s="4"/>
    </row>
    <row r="493" ht="15.75" customHeight="1">
      <c r="A493" s="4"/>
      <c r="B493" s="4"/>
      <c r="C493" s="5"/>
      <c r="D493" s="4"/>
      <c r="E493" s="4"/>
    </row>
    <row r="494" ht="15.75" customHeight="1">
      <c r="A494" s="4"/>
      <c r="B494" s="4"/>
      <c r="C494" s="5"/>
      <c r="D494" s="4"/>
      <c r="E494" s="4"/>
    </row>
    <row r="495" ht="15.75" customHeight="1">
      <c r="A495" s="4"/>
      <c r="B495" s="4"/>
      <c r="C495" s="5"/>
      <c r="D495" s="4"/>
      <c r="E495" s="4"/>
    </row>
    <row r="496" ht="15.75" customHeight="1">
      <c r="A496" s="4"/>
      <c r="B496" s="4"/>
      <c r="C496" s="5"/>
      <c r="D496" s="4"/>
      <c r="E496" s="4"/>
    </row>
    <row r="497" ht="15.75" customHeight="1">
      <c r="A497" s="4"/>
      <c r="B497" s="4"/>
      <c r="C497" s="5"/>
      <c r="D497" s="4"/>
      <c r="E497" s="4"/>
    </row>
    <row r="498" ht="15.75" customHeight="1">
      <c r="A498" s="4"/>
      <c r="B498" s="4"/>
      <c r="C498" s="5"/>
      <c r="D498" s="4"/>
      <c r="E498" s="4"/>
    </row>
    <row r="499" ht="15.75" customHeight="1">
      <c r="A499" s="4"/>
      <c r="B499" s="4"/>
      <c r="C499" s="5"/>
      <c r="D499" s="4"/>
      <c r="E499" s="4"/>
    </row>
    <row r="500" ht="15.75" customHeight="1">
      <c r="A500" s="4"/>
      <c r="B500" s="4"/>
      <c r="C500" s="5"/>
      <c r="D500" s="4"/>
      <c r="E500" s="4"/>
    </row>
    <row r="501" ht="15.75" customHeight="1">
      <c r="A501" s="4"/>
      <c r="B501" s="4"/>
      <c r="C501" s="5"/>
      <c r="D501" s="4"/>
      <c r="E501" s="4"/>
    </row>
    <row r="502" ht="15.75" customHeight="1">
      <c r="A502" s="4"/>
      <c r="B502" s="4"/>
      <c r="C502" s="5"/>
      <c r="D502" s="4"/>
      <c r="E502" s="4"/>
    </row>
    <row r="503" ht="15.75" customHeight="1">
      <c r="A503" s="4"/>
      <c r="B503" s="4"/>
      <c r="C503" s="5"/>
      <c r="D503" s="4"/>
      <c r="E503" s="4"/>
    </row>
    <row r="504" ht="15.75" customHeight="1">
      <c r="A504" s="4"/>
      <c r="B504" s="4"/>
      <c r="C504" s="5"/>
      <c r="D504" s="4"/>
      <c r="E504" s="4"/>
    </row>
    <row r="505" ht="15.75" customHeight="1">
      <c r="A505" s="4"/>
      <c r="B505" s="4"/>
      <c r="C505" s="5"/>
      <c r="D505" s="4"/>
      <c r="E505" s="4"/>
    </row>
    <row r="506" ht="15.75" customHeight="1">
      <c r="A506" s="4"/>
      <c r="B506" s="4"/>
      <c r="C506" s="5"/>
      <c r="D506" s="4"/>
      <c r="E506" s="4"/>
    </row>
    <row r="507" ht="15.75" customHeight="1">
      <c r="A507" s="4"/>
      <c r="B507" s="4"/>
      <c r="C507" s="5"/>
      <c r="D507" s="4"/>
      <c r="E507" s="4"/>
    </row>
    <row r="508" ht="15.75" customHeight="1">
      <c r="A508" s="4"/>
      <c r="B508" s="4"/>
      <c r="C508" s="5"/>
      <c r="D508" s="4"/>
      <c r="E508" s="4"/>
    </row>
    <row r="509" ht="15.75" customHeight="1">
      <c r="A509" s="4"/>
      <c r="B509" s="4"/>
      <c r="C509" s="5"/>
      <c r="D509" s="4"/>
      <c r="E509" s="4"/>
    </row>
    <row r="510" ht="15.75" customHeight="1">
      <c r="A510" s="4"/>
      <c r="B510" s="4"/>
      <c r="C510" s="5"/>
      <c r="D510" s="4"/>
      <c r="E510" s="4"/>
    </row>
    <row r="511" ht="15.75" customHeight="1">
      <c r="A511" s="4"/>
      <c r="B511" s="4"/>
      <c r="C511" s="5"/>
      <c r="D511" s="4"/>
      <c r="E511" s="4"/>
    </row>
    <row r="512" ht="15.75" customHeight="1">
      <c r="A512" s="4"/>
      <c r="B512" s="4"/>
      <c r="C512" s="5"/>
      <c r="D512" s="4"/>
      <c r="E512" s="4"/>
    </row>
    <row r="513" ht="15.75" customHeight="1">
      <c r="A513" s="4"/>
      <c r="B513" s="4"/>
      <c r="C513" s="5"/>
      <c r="D513" s="4"/>
      <c r="E513" s="4"/>
    </row>
    <row r="514" ht="15.75" customHeight="1">
      <c r="A514" s="4"/>
      <c r="B514" s="4"/>
      <c r="C514" s="5"/>
      <c r="D514" s="4"/>
      <c r="E514" s="4"/>
    </row>
    <row r="515" ht="15.75" customHeight="1">
      <c r="A515" s="4"/>
      <c r="B515" s="4"/>
      <c r="C515" s="5"/>
      <c r="D515" s="4"/>
      <c r="E515" s="4"/>
    </row>
    <row r="516" ht="15.75" customHeight="1">
      <c r="A516" s="4"/>
      <c r="B516" s="4"/>
      <c r="C516" s="5"/>
      <c r="D516" s="4"/>
      <c r="E516" s="4"/>
    </row>
    <row r="517" ht="15.75" customHeight="1">
      <c r="A517" s="4"/>
      <c r="B517" s="4"/>
      <c r="C517" s="5"/>
      <c r="D517" s="4"/>
      <c r="E517" s="4"/>
    </row>
    <row r="518" ht="15.75" customHeight="1">
      <c r="A518" s="4"/>
      <c r="B518" s="4"/>
      <c r="C518" s="5"/>
      <c r="D518" s="4"/>
      <c r="E518" s="4"/>
    </row>
    <row r="519" ht="15.75" customHeight="1">
      <c r="A519" s="4"/>
      <c r="B519" s="4"/>
      <c r="C519" s="5"/>
      <c r="D519" s="4"/>
      <c r="E519" s="4"/>
    </row>
    <row r="520" ht="15.75" customHeight="1">
      <c r="A520" s="4"/>
      <c r="B520" s="4"/>
      <c r="C520" s="5"/>
      <c r="D520" s="4"/>
      <c r="E520" s="4"/>
    </row>
    <row r="521" ht="15.75" customHeight="1">
      <c r="A521" s="4"/>
      <c r="B521" s="4"/>
      <c r="C521" s="5"/>
      <c r="D521" s="4"/>
      <c r="E521" s="4"/>
    </row>
    <row r="522" ht="15.75" customHeight="1">
      <c r="A522" s="4"/>
      <c r="B522" s="4"/>
      <c r="C522" s="5"/>
      <c r="D522" s="4"/>
      <c r="E522" s="4"/>
    </row>
    <row r="523" ht="15.75" customHeight="1">
      <c r="A523" s="4"/>
      <c r="B523" s="4"/>
      <c r="C523" s="5"/>
      <c r="D523" s="4"/>
      <c r="E523" s="4"/>
    </row>
    <row r="524" ht="15.75" customHeight="1">
      <c r="A524" s="4"/>
      <c r="B524" s="4"/>
      <c r="C524" s="5"/>
      <c r="D524" s="4"/>
      <c r="E524" s="4"/>
    </row>
    <row r="525" ht="15.75" customHeight="1">
      <c r="A525" s="4"/>
      <c r="B525" s="4"/>
      <c r="C525" s="5"/>
      <c r="D525" s="4"/>
      <c r="E525" s="4"/>
    </row>
    <row r="526" ht="15.75" customHeight="1">
      <c r="A526" s="4"/>
      <c r="B526" s="4"/>
      <c r="C526" s="5"/>
      <c r="D526" s="4"/>
      <c r="E526" s="4"/>
    </row>
    <row r="527" ht="15.75" customHeight="1">
      <c r="A527" s="4"/>
      <c r="B527" s="4"/>
      <c r="C527" s="5"/>
      <c r="D527" s="4"/>
      <c r="E527" s="4"/>
    </row>
    <row r="528" ht="15.75" customHeight="1">
      <c r="A528" s="4"/>
      <c r="B528" s="4"/>
      <c r="C528" s="5"/>
      <c r="D528" s="4"/>
      <c r="E528" s="4"/>
    </row>
    <row r="529" ht="15.75" customHeight="1">
      <c r="A529" s="4"/>
      <c r="B529" s="4"/>
      <c r="C529" s="5"/>
      <c r="D529" s="4"/>
      <c r="E529" s="4"/>
    </row>
    <row r="530" ht="15.75" customHeight="1">
      <c r="A530" s="4"/>
      <c r="B530" s="4"/>
      <c r="C530" s="5"/>
      <c r="D530" s="4"/>
      <c r="E530" s="4"/>
    </row>
    <row r="531" ht="15.75" customHeight="1">
      <c r="A531" s="4"/>
      <c r="B531" s="4"/>
      <c r="C531" s="5"/>
      <c r="D531" s="4"/>
      <c r="E531" s="4"/>
    </row>
    <row r="532" ht="15.75" customHeight="1">
      <c r="A532" s="4"/>
      <c r="B532" s="4"/>
      <c r="C532" s="5"/>
      <c r="D532" s="4"/>
      <c r="E532" s="4"/>
    </row>
    <row r="533" ht="15.75" customHeight="1">
      <c r="A533" s="4"/>
      <c r="B533" s="4"/>
      <c r="C533" s="5"/>
      <c r="D533" s="4"/>
      <c r="E533" s="4"/>
    </row>
    <row r="534" ht="15.75" customHeight="1">
      <c r="A534" s="4"/>
      <c r="B534" s="4"/>
      <c r="C534" s="5"/>
      <c r="D534" s="4"/>
      <c r="E534" s="4"/>
    </row>
    <row r="535" ht="15.75" customHeight="1">
      <c r="A535" s="4"/>
      <c r="B535" s="4"/>
      <c r="C535" s="5"/>
      <c r="D535" s="4"/>
      <c r="E535" s="4"/>
    </row>
    <row r="536" ht="15.75" customHeight="1">
      <c r="A536" s="4"/>
      <c r="B536" s="4"/>
      <c r="C536" s="5"/>
      <c r="D536" s="4"/>
      <c r="E536" s="4"/>
    </row>
    <row r="537" ht="15.75" customHeight="1">
      <c r="A537" s="4"/>
      <c r="B537" s="4"/>
      <c r="C537" s="5"/>
      <c r="D537" s="4"/>
      <c r="E537" s="4"/>
    </row>
    <row r="538" ht="15.75" customHeight="1">
      <c r="A538" s="4"/>
      <c r="B538" s="4"/>
      <c r="C538" s="5"/>
      <c r="D538" s="4"/>
      <c r="E538" s="4"/>
    </row>
    <row r="539" ht="15.75" customHeight="1">
      <c r="A539" s="4"/>
      <c r="B539" s="4"/>
      <c r="C539" s="5"/>
      <c r="D539" s="4"/>
      <c r="E539" s="4"/>
    </row>
    <row r="540" ht="15.75" customHeight="1">
      <c r="A540" s="4"/>
      <c r="B540" s="4"/>
      <c r="C540" s="5"/>
      <c r="D540" s="4"/>
      <c r="E540" s="4"/>
    </row>
    <row r="541" ht="15.75" customHeight="1">
      <c r="A541" s="4"/>
      <c r="B541" s="4"/>
      <c r="C541" s="5"/>
      <c r="D541" s="4"/>
      <c r="E541" s="4"/>
    </row>
    <row r="542" ht="15.75" customHeight="1">
      <c r="A542" s="4"/>
      <c r="B542" s="4"/>
      <c r="C542" s="5"/>
      <c r="D542" s="4"/>
      <c r="E542" s="4"/>
    </row>
    <row r="543" ht="15.75" customHeight="1">
      <c r="A543" s="4"/>
      <c r="B543" s="4"/>
      <c r="C543" s="5"/>
      <c r="D543" s="4"/>
      <c r="E543" s="4"/>
    </row>
    <row r="544" ht="15.75" customHeight="1">
      <c r="A544" s="4"/>
      <c r="B544" s="4"/>
      <c r="C544" s="5"/>
      <c r="D544" s="4"/>
      <c r="E544" s="4"/>
    </row>
    <row r="545" ht="15.75" customHeight="1">
      <c r="A545" s="4"/>
      <c r="B545" s="4"/>
      <c r="C545" s="5"/>
      <c r="D545" s="4"/>
      <c r="E545" s="4"/>
    </row>
    <row r="546" ht="15.75" customHeight="1">
      <c r="A546" s="4"/>
      <c r="B546" s="4"/>
      <c r="C546" s="5"/>
      <c r="D546" s="4"/>
      <c r="E546" s="4"/>
    </row>
    <row r="547" ht="15.75" customHeight="1">
      <c r="A547" s="4"/>
      <c r="B547" s="4"/>
      <c r="C547" s="5"/>
      <c r="D547" s="4"/>
      <c r="E547" s="4"/>
    </row>
    <row r="548" ht="15.75" customHeight="1">
      <c r="A548" s="4"/>
      <c r="B548" s="4"/>
      <c r="C548" s="5"/>
      <c r="D548" s="4"/>
      <c r="E548" s="4"/>
    </row>
    <row r="549" ht="15.75" customHeight="1">
      <c r="A549" s="4"/>
      <c r="B549" s="4"/>
      <c r="C549" s="5"/>
      <c r="D549" s="4"/>
      <c r="E549" s="4"/>
    </row>
    <row r="550" ht="15.75" customHeight="1">
      <c r="A550" s="4"/>
      <c r="B550" s="4"/>
      <c r="C550" s="5"/>
      <c r="D550" s="4"/>
      <c r="E550" s="4"/>
    </row>
    <row r="551" ht="15.75" customHeight="1">
      <c r="A551" s="4"/>
      <c r="B551" s="4"/>
      <c r="C551" s="5"/>
      <c r="D551" s="4"/>
      <c r="E551" s="4"/>
    </row>
    <row r="552" ht="15.75" customHeight="1">
      <c r="A552" s="4"/>
      <c r="B552" s="4"/>
      <c r="C552" s="5"/>
      <c r="D552" s="4"/>
      <c r="E552" s="4"/>
    </row>
    <row r="553" ht="15.75" customHeight="1">
      <c r="A553" s="4"/>
      <c r="B553" s="4"/>
      <c r="C553" s="5"/>
      <c r="D553" s="4"/>
      <c r="E553" s="4"/>
    </row>
    <row r="554" ht="15.75" customHeight="1">
      <c r="A554" s="4"/>
      <c r="B554" s="4"/>
      <c r="C554" s="5"/>
      <c r="D554" s="4"/>
      <c r="E554" s="4"/>
    </row>
    <row r="555" ht="15.75" customHeight="1">
      <c r="A555" s="4"/>
      <c r="B555" s="4"/>
      <c r="C555" s="5"/>
      <c r="D555" s="4"/>
      <c r="E555" s="4"/>
    </row>
    <row r="556" ht="15.75" customHeight="1">
      <c r="A556" s="4"/>
      <c r="B556" s="4"/>
      <c r="C556" s="5"/>
      <c r="D556" s="4"/>
      <c r="E556" s="4"/>
    </row>
    <row r="557" ht="15.75" customHeight="1">
      <c r="A557" s="4"/>
      <c r="B557" s="4"/>
      <c r="C557" s="5"/>
      <c r="D557" s="4"/>
      <c r="E557" s="4"/>
    </row>
    <row r="558" ht="15.75" customHeight="1">
      <c r="A558" s="4"/>
      <c r="B558" s="4"/>
      <c r="C558" s="5"/>
      <c r="D558" s="4"/>
      <c r="E558" s="4"/>
    </row>
    <row r="559" ht="15.75" customHeight="1">
      <c r="A559" s="4"/>
      <c r="B559" s="4"/>
      <c r="C559" s="5"/>
      <c r="D559" s="4"/>
      <c r="E559" s="4"/>
    </row>
    <row r="560" ht="15.75" customHeight="1">
      <c r="A560" s="4"/>
      <c r="B560" s="4"/>
      <c r="C560" s="5"/>
      <c r="D560" s="4"/>
      <c r="E560" s="4"/>
    </row>
    <row r="561" ht="15.75" customHeight="1">
      <c r="A561" s="4"/>
      <c r="B561" s="4"/>
      <c r="C561" s="5"/>
      <c r="D561" s="4"/>
      <c r="E561" s="4"/>
    </row>
    <row r="562" ht="15.75" customHeight="1">
      <c r="A562" s="4"/>
      <c r="B562" s="4"/>
      <c r="C562" s="5"/>
      <c r="D562" s="4"/>
      <c r="E562" s="4"/>
    </row>
    <row r="563" ht="15.75" customHeight="1">
      <c r="A563" s="4"/>
      <c r="B563" s="4"/>
      <c r="C563" s="5"/>
      <c r="D563" s="4"/>
      <c r="E563" s="4"/>
    </row>
    <row r="564" ht="15.75" customHeight="1">
      <c r="A564" s="4"/>
      <c r="B564" s="4"/>
      <c r="C564" s="5"/>
      <c r="D564" s="4"/>
      <c r="E564" s="4"/>
    </row>
    <row r="565" ht="15.75" customHeight="1">
      <c r="A565" s="4"/>
      <c r="B565" s="4"/>
      <c r="C565" s="5"/>
      <c r="D565" s="4"/>
      <c r="E565" s="4"/>
    </row>
    <row r="566" ht="15.75" customHeight="1">
      <c r="A566" s="4"/>
      <c r="B566" s="4"/>
      <c r="C566" s="5"/>
      <c r="D566" s="4"/>
      <c r="E566" s="4"/>
    </row>
    <row r="567" ht="15.75" customHeight="1">
      <c r="A567" s="4"/>
      <c r="B567" s="4"/>
      <c r="C567" s="5"/>
      <c r="D567" s="4"/>
      <c r="E567" s="4"/>
    </row>
    <row r="568" ht="15.75" customHeight="1">
      <c r="A568" s="4"/>
      <c r="B568" s="4"/>
      <c r="C568" s="5"/>
      <c r="D568" s="4"/>
      <c r="E568" s="4"/>
    </row>
    <row r="569" ht="15.75" customHeight="1">
      <c r="A569" s="4"/>
      <c r="B569" s="4"/>
      <c r="C569" s="5"/>
      <c r="D569" s="4"/>
      <c r="E569" s="4"/>
    </row>
    <row r="570" ht="15.75" customHeight="1">
      <c r="A570" s="4"/>
      <c r="B570" s="4"/>
      <c r="C570" s="5"/>
      <c r="D570" s="4"/>
      <c r="E570" s="4"/>
    </row>
    <row r="571" ht="15.75" customHeight="1">
      <c r="A571" s="4"/>
      <c r="B571" s="4"/>
      <c r="C571" s="5"/>
      <c r="D571" s="4"/>
      <c r="E571" s="4"/>
    </row>
    <row r="572" ht="15.75" customHeight="1">
      <c r="A572" s="4"/>
      <c r="B572" s="4"/>
      <c r="C572" s="5"/>
      <c r="D572" s="4"/>
      <c r="E572" s="4"/>
    </row>
    <row r="573" ht="15.75" customHeight="1">
      <c r="A573" s="4"/>
      <c r="B573" s="4"/>
      <c r="C573" s="5"/>
      <c r="D573" s="4"/>
      <c r="E573" s="4"/>
    </row>
    <row r="574" ht="15.75" customHeight="1">
      <c r="A574" s="4"/>
      <c r="B574" s="4"/>
      <c r="C574" s="5"/>
      <c r="D574" s="4"/>
      <c r="E574" s="4"/>
    </row>
    <row r="575" ht="15.75" customHeight="1">
      <c r="A575" s="4"/>
      <c r="B575" s="4"/>
      <c r="C575" s="5"/>
      <c r="D575" s="4"/>
      <c r="E575" s="4"/>
    </row>
    <row r="576" ht="15.75" customHeight="1">
      <c r="A576" s="4"/>
      <c r="B576" s="4"/>
      <c r="C576" s="5"/>
      <c r="D576" s="4"/>
      <c r="E576" s="4"/>
    </row>
    <row r="577" ht="15.75" customHeight="1">
      <c r="A577" s="4"/>
      <c r="B577" s="4"/>
      <c r="C577" s="5"/>
      <c r="D577" s="4"/>
      <c r="E577" s="4"/>
    </row>
    <row r="578" ht="15.75" customHeight="1">
      <c r="A578" s="4"/>
      <c r="B578" s="4"/>
      <c r="C578" s="5"/>
      <c r="D578" s="4"/>
      <c r="E578" s="4"/>
    </row>
    <row r="579" ht="15.75" customHeight="1">
      <c r="A579" s="4"/>
      <c r="B579" s="4"/>
      <c r="C579" s="5"/>
      <c r="D579" s="4"/>
      <c r="E579" s="4"/>
    </row>
    <row r="580" ht="15.75" customHeight="1">
      <c r="A580" s="4"/>
      <c r="B580" s="4"/>
      <c r="C580" s="5"/>
      <c r="D580" s="4"/>
      <c r="E580" s="4"/>
    </row>
    <row r="581" ht="15.75" customHeight="1">
      <c r="A581" s="4"/>
      <c r="B581" s="4"/>
      <c r="C581" s="5"/>
      <c r="D581" s="4"/>
      <c r="E581" s="4"/>
    </row>
    <row r="582" ht="15.75" customHeight="1">
      <c r="A582" s="4"/>
      <c r="B582" s="4"/>
      <c r="C582" s="5"/>
      <c r="D582" s="4"/>
      <c r="E582" s="4"/>
    </row>
    <row r="583" ht="15.75" customHeight="1">
      <c r="A583" s="4"/>
      <c r="B583" s="4"/>
      <c r="C583" s="5"/>
      <c r="D583" s="4"/>
      <c r="E583" s="4"/>
    </row>
    <row r="584" ht="15.75" customHeight="1">
      <c r="A584" s="4"/>
      <c r="B584" s="4"/>
      <c r="C584" s="5"/>
      <c r="D584" s="4"/>
      <c r="E584" s="4"/>
    </row>
    <row r="585" ht="15.75" customHeight="1">
      <c r="A585" s="4"/>
      <c r="B585" s="4"/>
      <c r="C585" s="5"/>
      <c r="D585" s="4"/>
      <c r="E585" s="4"/>
    </row>
    <row r="586" ht="15.75" customHeight="1">
      <c r="A586" s="4"/>
      <c r="B586" s="4"/>
      <c r="C586" s="5"/>
      <c r="D586" s="4"/>
      <c r="E586" s="4"/>
    </row>
    <row r="587" ht="15.75" customHeight="1">
      <c r="A587" s="4"/>
      <c r="B587" s="4"/>
      <c r="C587" s="5"/>
      <c r="D587" s="4"/>
      <c r="E587" s="4"/>
    </row>
    <row r="588" ht="15.75" customHeight="1">
      <c r="A588" s="4"/>
      <c r="B588" s="4"/>
      <c r="C588" s="5"/>
      <c r="D588" s="4"/>
      <c r="E588" s="4"/>
    </row>
    <row r="589" ht="15.75" customHeight="1">
      <c r="A589" s="4"/>
      <c r="B589" s="4"/>
      <c r="C589" s="5"/>
      <c r="D589" s="4"/>
      <c r="E589" s="4"/>
    </row>
    <row r="590" ht="15.75" customHeight="1">
      <c r="A590" s="4"/>
      <c r="B590" s="4"/>
      <c r="C590" s="5"/>
      <c r="D590" s="4"/>
      <c r="E590" s="4"/>
    </row>
    <row r="591" ht="15.75" customHeight="1">
      <c r="A591" s="4"/>
      <c r="B591" s="4"/>
      <c r="C591" s="5"/>
      <c r="D591" s="4"/>
      <c r="E591" s="4"/>
    </row>
    <row r="592" ht="15.75" customHeight="1">
      <c r="A592" s="4"/>
      <c r="B592" s="4"/>
      <c r="C592" s="5"/>
      <c r="D592" s="4"/>
      <c r="E592" s="4"/>
    </row>
    <row r="593" ht="15.75" customHeight="1">
      <c r="A593" s="4"/>
      <c r="B593" s="4"/>
      <c r="C593" s="5"/>
      <c r="D593" s="4"/>
      <c r="E593" s="4"/>
    </row>
    <row r="594" ht="15.75" customHeight="1">
      <c r="A594" s="4"/>
      <c r="B594" s="4"/>
      <c r="C594" s="5"/>
      <c r="D594" s="4"/>
      <c r="E594" s="4"/>
    </row>
    <row r="595" ht="15.75" customHeight="1">
      <c r="A595" s="4"/>
      <c r="B595" s="4"/>
      <c r="C595" s="5"/>
      <c r="D595" s="4"/>
      <c r="E595" s="4"/>
    </row>
    <row r="596" ht="15.75" customHeight="1">
      <c r="A596" s="4"/>
      <c r="B596" s="4"/>
      <c r="C596" s="5"/>
      <c r="D596" s="4"/>
      <c r="E596" s="4"/>
    </row>
    <row r="597" ht="15.75" customHeight="1">
      <c r="A597" s="4"/>
      <c r="B597" s="4"/>
      <c r="C597" s="5"/>
      <c r="D597" s="4"/>
      <c r="E597" s="4"/>
    </row>
    <row r="598" ht="15.75" customHeight="1">
      <c r="A598" s="4"/>
      <c r="B598" s="4"/>
      <c r="C598" s="5"/>
      <c r="D598" s="4"/>
      <c r="E598" s="4"/>
    </row>
    <row r="599" ht="15.75" customHeight="1">
      <c r="A599" s="4"/>
      <c r="B599" s="4"/>
      <c r="C599" s="5"/>
      <c r="D599" s="4"/>
      <c r="E599" s="4"/>
    </row>
    <row r="600" ht="15.75" customHeight="1">
      <c r="A600" s="4"/>
      <c r="B600" s="4"/>
      <c r="C600" s="5"/>
      <c r="D600" s="4"/>
      <c r="E600" s="4"/>
    </row>
    <row r="601" ht="15.75" customHeight="1">
      <c r="A601" s="4"/>
      <c r="B601" s="4"/>
      <c r="C601" s="5"/>
      <c r="D601" s="4"/>
      <c r="E601" s="4"/>
    </row>
    <row r="602" ht="15.75" customHeight="1">
      <c r="A602" s="4"/>
      <c r="B602" s="4"/>
      <c r="C602" s="5"/>
      <c r="D602" s="4"/>
      <c r="E602" s="4"/>
    </row>
    <row r="603" ht="15.75" customHeight="1">
      <c r="A603" s="4"/>
      <c r="B603" s="4"/>
      <c r="C603" s="5"/>
      <c r="D603" s="4"/>
      <c r="E603" s="4"/>
    </row>
    <row r="604" ht="15.75" customHeight="1">
      <c r="A604" s="4"/>
      <c r="B604" s="4"/>
      <c r="C604" s="5"/>
      <c r="D604" s="4"/>
      <c r="E604" s="4"/>
    </row>
    <row r="605" ht="15.75" customHeight="1">
      <c r="A605" s="4"/>
      <c r="B605" s="4"/>
      <c r="C605" s="5"/>
      <c r="D605" s="4"/>
      <c r="E605" s="4"/>
    </row>
    <row r="606" ht="15.75" customHeight="1">
      <c r="A606" s="4"/>
      <c r="B606" s="4"/>
      <c r="C606" s="5"/>
      <c r="D606" s="4"/>
      <c r="E606" s="4"/>
    </row>
    <row r="607" ht="15.75" customHeight="1">
      <c r="A607" s="4"/>
      <c r="B607" s="4"/>
      <c r="C607" s="5"/>
      <c r="D607" s="4"/>
      <c r="E607" s="4"/>
    </row>
    <row r="608" ht="15.75" customHeight="1">
      <c r="A608" s="4"/>
      <c r="B608" s="4"/>
      <c r="C608" s="5"/>
      <c r="D608" s="4"/>
      <c r="E608" s="4"/>
    </row>
    <row r="609" ht="15.75" customHeight="1">
      <c r="A609" s="4"/>
      <c r="B609" s="4"/>
      <c r="C609" s="5"/>
      <c r="D609" s="4"/>
      <c r="E609" s="4"/>
    </row>
    <row r="610" ht="15.75" customHeight="1">
      <c r="A610" s="4"/>
      <c r="B610" s="4"/>
      <c r="C610" s="5"/>
      <c r="D610" s="4"/>
      <c r="E610" s="4"/>
    </row>
    <row r="611" ht="15.75" customHeight="1">
      <c r="A611" s="4"/>
      <c r="B611" s="4"/>
      <c r="C611" s="5"/>
      <c r="D611" s="4"/>
      <c r="E611" s="4"/>
    </row>
    <row r="612" ht="15.75" customHeight="1">
      <c r="A612" s="4"/>
      <c r="B612" s="4"/>
      <c r="C612" s="5"/>
      <c r="D612" s="4"/>
      <c r="E612" s="4"/>
    </row>
    <row r="613" ht="15.75" customHeight="1">
      <c r="A613" s="4"/>
      <c r="B613" s="4"/>
      <c r="C613" s="5"/>
      <c r="D613" s="4"/>
      <c r="E613" s="4"/>
    </row>
    <row r="614" ht="15.75" customHeight="1">
      <c r="A614" s="4"/>
      <c r="B614" s="4"/>
      <c r="C614" s="5"/>
      <c r="D614" s="4"/>
      <c r="E614" s="4"/>
    </row>
    <row r="615" ht="15.75" customHeight="1">
      <c r="A615" s="4"/>
      <c r="B615" s="4"/>
      <c r="C615" s="5"/>
      <c r="D615" s="4"/>
      <c r="E615" s="4"/>
    </row>
    <row r="616" ht="15.75" customHeight="1">
      <c r="A616" s="4"/>
      <c r="B616" s="4"/>
      <c r="C616" s="5"/>
      <c r="D616" s="4"/>
      <c r="E616" s="4"/>
    </row>
    <row r="617" ht="15.75" customHeight="1">
      <c r="A617" s="4"/>
      <c r="B617" s="4"/>
      <c r="C617" s="5"/>
      <c r="D617" s="4"/>
      <c r="E617" s="4"/>
    </row>
    <row r="618" ht="15.75" customHeight="1">
      <c r="A618" s="4"/>
      <c r="B618" s="4"/>
      <c r="C618" s="5"/>
      <c r="D618" s="4"/>
      <c r="E618" s="4"/>
    </row>
    <row r="619" ht="15.75" customHeight="1">
      <c r="A619" s="4"/>
      <c r="B619" s="4"/>
      <c r="C619" s="5"/>
      <c r="D619" s="4"/>
      <c r="E619" s="4"/>
    </row>
    <row r="620" ht="15.75" customHeight="1">
      <c r="A620" s="4"/>
      <c r="B620" s="4"/>
      <c r="C620" s="5"/>
      <c r="D620" s="4"/>
      <c r="E620" s="4"/>
    </row>
    <row r="621" ht="15.75" customHeight="1">
      <c r="A621" s="4"/>
      <c r="B621" s="4"/>
      <c r="C621" s="5"/>
      <c r="D621" s="4"/>
      <c r="E621" s="4"/>
    </row>
    <row r="622" ht="15.75" customHeight="1">
      <c r="A622" s="4"/>
      <c r="B622" s="4"/>
      <c r="C622" s="5"/>
      <c r="D622" s="4"/>
      <c r="E622" s="4"/>
    </row>
    <row r="623" ht="15.75" customHeight="1">
      <c r="A623" s="4"/>
      <c r="B623" s="4"/>
      <c r="C623" s="5"/>
      <c r="D623" s="4"/>
      <c r="E623" s="4"/>
    </row>
    <row r="624" ht="15.75" customHeight="1">
      <c r="A624" s="4"/>
      <c r="B624" s="4"/>
      <c r="C624" s="5"/>
      <c r="D624" s="4"/>
      <c r="E624" s="4"/>
    </row>
    <row r="625" ht="15.75" customHeight="1">
      <c r="A625" s="4"/>
      <c r="B625" s="4"/>
      <c r="C625" s="5"/>
      <c r="D625" s="4"/>
      <c r="E625" s="4"/>
    </row>
    <row r="626" ht="15.75" customHeight="1">
      <c r="A626" s="4"/>
      <c r="B626" s="4"/>
      <c r="C626" s="5"/>
      <c r="D626" s="4"/>
      <c r="E626" s="4"/>
    </row>
    <row r="627" ht="15.75" customHeight="1">
      <c r="A627" s="4"/>
      <c r="B627" s="4"/>
      <c r="C627" s="5"/>
      <c r="D627" s="4"/>
      <c r="E627" s="4"/>
    </row>
    <row r="628" ht="15.75" customHeight="1">
      <c r="A628" s="4"/>
      <c r="B628" s="4"/>
      <c r="C628" s="5"/>
      <c r="D628" s="4"/>
      <c r="E628" s="4"/>
    </row>
    <row r="629" ht="15.75" customHeight="1">
      <c r="A629" s="4"/>
      <c r="B629" s="4"/>
      <c r="C629" s="5"/>
      <c r="D629" s="4"/>
      <c r="E629" s="4"/>
    </row>
    <row r="630" ht="15.75" customHeight="1">
      <c r="A630" s="4"/>
      <c r="B630" s="4"/>
      <c r="C630" s="5"/>
      <c r="D630" s="4"/>
      <c r="E630" s="4"/>
    </row>
    <row r="631" ht="15.75" customHeight="1">
      <c r="A631" s="4"/>
      <c r="B631" s="4"/>
      <c r="C631" s="5"/>
      <c r="D631" s="4"/>
      <c r="E631" s="4"/>
    </row>
    <row r="632" ht="15.75" customHeight="1">
      <c r="A632" s="4"/>
      <c r="B632" s="4"/>
      <c r="C632" s="5"/>
      <c r="D632" s="4"/>
      <c r="E632" s="4"/>
    </row>
    <row r="633" ht="15.75" customHeight="1">
      <c r="A633" s="4"/>
      <c r="B633" s="4"/>
      <c r="C633" s="5"/>
      <c r="D633" s="4"/>
      <c r="E633" s="4"/>
    </row>
    <row r="634" ht="15.75" customHeight="1">
      <c r="A634" s="4"/>
      <c r="B634" s="4"/>
      <c r="C634" s="5"/>
      <c r="D634" s="4"/>
      <c r="E634" s="4"/>
    </row>
    <row r="635" ht="15.75" customHeight="1">
      <c r="A635" s="4"/>
      <c r="B635" s="4"/>
      <c r="C635" s="5"/>
      <c r="D635" s="4"/>
      <c r="E635" s="4"/>
    </row>
    <row r="636" ht="15.75" customHeight="1">
      <c r="A636" s="4"/>
      <c r="B636" s="4"/>
      <c r="C636" s="5"/>
      <c r="D636" s="4"/>
      <c r="E636" s="4"/>
    </row>
    <row r="637" ht="15.75" customHeight="1">
      <c r="A637" s="4"/>
      <c r="B637" s="4"/>
      <c r="C637" s="5"/>
      <c r="D637" s="4"/>
      <c r="E637" s="4"/>
    </row>
    <row r="638" ht="15.75" customHeight="1">
      <c r="A638" s="4"/>
      <c r="B638" s="4"/>
      <c r="C638" s="5"/>
      <c r="D638" s="4"/>
      <c r="E638" s="4"/>
    </row>
    <row r="639" ht="15.75" customHeight="1">
      <c r="A639" s="4"/>
      <c r="B639" s="4"/>
      <c r="C639" s="5"/>
      <c r="D639" s="4"/>
      <c r="E639" s="4"/>
    </row>
    <row r="640" ht="15.75" customHeight="1">
      <c r="A640" s="4"/>
      <c r="B640" s="4"/>
      <c r="C640" s="5"/>
      <c r="D640" s="4"/>
      <c r="E640" s="4"/>
    </row>
    <row r="641" ht="15.75" customHeight="1">
      <c r="A641" s="4"/>
      <c r="B641" s="4"/>
      <c r="C641" s="5"/>
      <c r="D641" s="4"/>
      <c r="E641" s="4"/>
    </row>
    <row r="642" ht="15.75" customHeight="1">
      <c r="A642" s="4"/>
      <c r="B642" s="4"/>
      <c r="C642" s="5"/>
      <c r="D642" s="4"/>
      <c r="E642" s="4"/>
    </row>
    <row r="643" ht="15.75" customHeight="1">
      <c r="A643" s="4"/>
      <c r="B643" s="4"/>
      <c r="C643" s="5"/>
      <c r="D643" s="4"/>
      <c r="E643" s="4"/>
    </row>
    <row r="644" ht="15.75" customHeight="1">
      <c r="A644" s="4"/>
      <c r="B644" s="4"/>
      <c r="C644" s="5"/>
      <c r="D644" s="4"/>
      <c r="E644" s="4"/>
    </row>
    <row r="645" ht="15.75" customHeight="1">
      <c r="A645" s="4"/>
      <c r="B645" s="4"/>
      <c r="C645" s="5"/>
      <c r="D645" s="4"/>
      <c r="E645" s="4"/>
    </row>
    <row r="646" ht="15.75" customHeight="1">
      <c r="A646" s="4"/>
      <c r="B646" s="4"/>
      <c r="C646" s="5"/>
      <c r="D646" s="4"/>
      <c r="E646" s="4"/>
    </row>
    <row r="647" ht="15.75" customHeight="1">
      <c r="A647" s="4"/>
      <c r="B647" s="4"/>
      <c r="C647" s="5"/>
      <c r="D647" s="4"/>
      <c r="E647" s="4"/>
    </row>
    <row r="648" ht="15.75" customHeight="1">
      <c r="A648" s="4"/>
      <c r="B648" s="4"/>
      <c r="C648" s="5"/>
      <c r="D648" s="4"/>
      <c r="E648" s="4"/>
    </row>
    <row r="649" ht="15.75" customHeight="1">
      <c r="A649" s="4"/>
      <c r="B649" s="4"/>
      <c r="C649" s="5"/>
      <c r="D649" s="4"/>
      <c r="E649" s="4"/>
    </row>
    <row r="650" ht="15.75" customHeight="1">
      <c r="A650" s="4"/>
      <c r="B650" s="4"/>
      <c r="C650" s="5"/>
      <c r="D650" s="4"/>
      <c r="E650" s="4"/>
    </row>
    <row r="651" ht="15.75" customHeight="1">
      <c r="A651" s="4"/>
      <c r="B651" s="4"/>
      <c r="C651" s="5"/>
      <c r="D651" s="4"/>
      <c r="E651" s="4"/>
    </row>
    <row r="652" ht="15.75" customHeight="1">
      <c r="A652" s="4"/>
      <c r="B652" s="4"/>
      <c r="C652" s="5"/>
      <c r="D652" s="4"/>
      <c r="E652" s="4"/>
    </row>
    <row r="653" ht="15.75" customHeight="1">
      <c r="A653" s="4"/>
      <c r="B653" s="4"/>
      <c r="C653" s="5"/>
      <c r="D653" s="4"/>
      <c r="E653" s="4"/>
    </row>
    <row r="654" ht="15.75" customHeight="1">
      <c r="A654" s="4"/>
      <c r="B654" s="4"/>
      <c r="C654" s="5"/>
      <c r="D654" s="4"/>
      <c r="E654" s="4"/>
    </row>
    <row r="655" ht="15.75" customHeight="1">
      <c r="A655" s="4"/>
      <c r="B655" s="4"/>
      <c r="C655" s="5"/>
      <c r="D655" s="4"/>
      <c r="E655" s="4"/>
    </row>
    <row r="656" ht="15.75" customHeight="1">
      <c r="A656" s="4"/>
      <c r="B656" s="4"/>
      <c r="C656" s="5"/>
      <c r="D656" s="4"/>
      <c r="E656" s="4"/>
    </row>
    <row r="657" ht="15.75" customHeight="1">
      <c r="A657" s="4"/>
      <c r="B657" s="4"/>
      <c r="C657" s="5"/>
      <c r="D657" s="4"/>
      <c r="E657" s="4"/>
    </row>
    <row r="658" ht="15.75" customHeight="1">
      <c r="A658" s="4"/>
      <c r="B658" s="4"/>
      <c r="C658" s="5"/>
      <c r="D658" s="4"/>
      <c r="E658" s="4"/>
    </row>
    <row r="659" ht="15.75" customHeight="1">
      <c r="A659" s="4"/>
      <c r="B659" s="4"/>
      <c r="C659" s="5"/>
      <c r="D659" s="4"/>
      <c r="E659" s="4"/>
    </row>
    <row r="660" ht="15.75" customHeight="1">
      <c r="A660" s="4"/>
      <c r="B660" s="4"/>
      <c r="C660" s="5"/>
      <c r="D660" s="4"/>
      <c r="E660" s="4"/>
    </row>
    <row r="661" ht="15.75" customHeight="1">
      <c r="A661" s="4"/>
      <c r="B661" s="4"/>
      <c r="C661" s="5"/>
      <c r="D661" s="4"/>
      <c r="E661" s="4"/>
    </row>
    <row r="662" ht="15.75" customHeight="1">
      <c r="A662" s="4"/>
      <c r="B662" s="4"/>
      <c r="C662" s="5"/>
      <c r="D662" s="4"/>
      <c r="E662" s="4"/>
    </row>
    <row r="663" ht="15.75" customHeight="1">
      <c r="A663" s="4"/>
      <c r="B663" s="4"/>
      <c r="C663" s="5"/>
      <c r="D663" s="4"/>
      <c r="E663" s="4"/>
    </row>
    <row r="664" ht="15.75" customHeight="1">
      <c r="A664" s="4"/>
      <c r="B664" s="4"/>
      <c r="C664" s="5"/>
      <c r="D664" s="4"/>
      <c r="E664" s="4"/>
    </row>
    <row r="665" ht="15.75" customHeight="1">
      <c r="A665" s="4"/>
      <c r="B665" s="4"/>
      <c r="C665" s="5"/>
      <c r="D665" s="4"/>
      <c r="E665" s="4"/>
    </row>
    <row r="666" ht="15.75" customHeight="1">
      <c r="A666" s="4"/>
      <c r="B666" s="4"/>
      <c r="C666" s="5"/>
      <c r="D666" s="4"/>
      <c r="E666" s="4"/>
    </row>
    <row r="667" ht="15.75" customHeight="1">
      <c r="A667" s="4"/>
      <c r="B667" s="4"/>
      <c r="C667" s="5"/>
      <c r="D667" s="4"/>
      <c r="E667" s="4"/>
    </row>
    <row r="668" ht="15.75" customHeight="1">
      <c r="A668" s="4"/>
      <c r="B668" s="4"/>
      <c r="C668" s="5"/>
      <c r="D668" s="4"/>
      <c r="E668" s="4"/>
    </row>
    <row r="669" ht="15.75" customHeight="1">
      <c r="A669" s="4"/>
      <c r="B669" s="4"/>
      <c r="C669" s="5"/>
      <c r="D669" s="4"/>
      <c r="E669" s="4"/>
    </row>
    <row r="670" ht="15.75" customHeight="1">
      <c r="A670" s="4"/>
      <c r="B670" s="4"/>
      <c r="C670" s="5"/>
      <c r="D670" s="4"/>
      <c r="E670" s="4"/>
    </row>
    <row r="671" ht="15.75" customHeight="1">
      <c r="A671" s="4"/>
      <c r="B671" s="4"/>
      <c r="C671" s="5"/>
      <c r="D671" s="4"/>
      <c r="E671" s="4"/>
    </row>
    <row r="672" ht="15.75" customHeight="1">
      <c r="A672" s="4"/>
      <c r="B672" s="4"/>
      <c r="C672" s="5"/>
      <c r="D672" s="4"/>
      <c r="E672" s="4"/>
    </row>
    <row r="673" ht="15.75" customHeight="1">
      <c r="A673" s="4"/>
      <c r="B673" s="4"/>
      <c r="C673" s="5"/>
      <c r="D673" s="4"/>
      <c r="E673" s="4"/>
    </row>
    <row r="674" ht="15.75" customHeight="1">
      <c r="A674" s="4"/>
      <c r="B674" s="4"/>
      <c r="C674" s="5"/>
      <c r="D674" s="4"/>
      <c r="E674" s="4"/>
    </row>
    <row r="675" ht="15.75" customHeight="1">
      <c r="A675" s="4"/>
      <c r="B675" s="4"/>
      <c r="C675" s="5"/>
      <c r="D675" s="4"/>
      <c r="E675" s="4"/>
    </row>
    <row r="676" ht="15.75" customHeight="1">
      <c r="A676" s="4"/>
      <c r="B676" s="4"/>
      <c r="C676" s="5"/>
      <c r="D676" s="4"/>
      <c r="E676" s="4"/>
    </row>
    <row r="677" ht="15.75" customHeight="1">
      <c r="A677" s="4"/>
      <c r="B677" s="4"/>
      <c r="C677" s="5"/>
      <c r="D677" s="4"/>
      <c r="E677" s="4"/>
    </row>
    <row r="678" ht="15.75" customHeight="1">
      <c r="A678" s="4"/>
      <c r="B678" s="4"/>
      <c r="C678" s="5"/>
      <c r="D678" s="4"/>
      <c r="E678" s="4"/>
    </row>
    <row r="679" ht="15.75" customHeight="1">
      <c r="A679" s="4"/>
      <c r="B679" s="4"/>
      <c r="C679" s="5"/>
      <c r="D679" s="4"/>
      <c r="E679" s="4"/>
    </row>
    <row r="680" ht="15.75" customHeight="1">
      <c r="A680" s="4"/>
      <c r="B680" s="4"/>
      <c r="C680" s="5"/>
      <c r="D680" s="4"/>
      <c r="E680" s="4"/>
    </row>
    <row r="681" ht="15.75" customHeight="1">
      <c r="A681" s="4"/>
      <c r="B681" s="4"/>
      <c r="C681" s="5"/>
      <c r="D681" s="4"/>
      <c r="E681" s="4"/>
    </row>
    <row r="682" ht="15.75" customHeight="1">
      <c r="A682" s="4"/>
      <c r="B682" s="4"/>
      <c r="C682" s="5"/>
      <c r="D682" s="4"/>
      <c r="E682" s="4"/>
    </row>
    <row r="683" ht="15.75" customHeight="1">
      <c r="A683" s="4"/>
      <c r="B683" s="4"/>
      <c r="C683" s="5"/>
      <c r="D683" s="4"/>
      <c r="E683" s="4"/>
    </row>
    <row r="684" ht="15.75" customHeight="1">
      <c r="A684" s="4"/>
      <c r="B684" s="4"/>
      <c r="C684" s="5"/>
      <c r="D684" s="4"/>
      <c r="E684" s="4"/>
    </row>
    <row r="685" ht="15.75" customHeight="1">
      <c r="A685" s="4"/>
      <c r="B685" s="4"/>
      <c r="C685" s="5"/>
      <c r="D685" s="4"/>
      <c r="E685" s="4"/>
    </row>
    <row r="686" ht="15.75" customHeight="1">
      <c r="A686" s="4"/>
      <c r="B686" s="4"/>
      <c r="C686" s="5"/>
      <c r="D686" s="4"/>
      <c r="E686" s="4"/>
    </row>
    <row r="687" ht="15.75" customHeight="1">
      <c r="A687" s="4"/>
      <c r="B687" s="4"/>
      <c r="C687" s="5"/>
      <c r="D687" s="4"/>
      <c r="E687" s="4"/>
    </row>
    <row r="688" ht="15.75" customHeight="1">
      <c r="A688" s="4"/>
      <c r="B688" s="4"/>
      <c r="C688" s="5"/>
      <c r="D688" s="4"/>
      <c r="E688" s="4"/>
    </row>
    <row r="689" ht="15.75" customHeight="1">
      <c r="A689" s="4"/>
      <c r="B689" s="4"/>
      <c r="C689" s="5"/>
      <c r="D689" s="4"/>
      <c r="E689" s="4"/>
    </row>
    <row r="690" ht="15.75" customHeight="1">
      <c r="A690" s="4"/>
      <c r="B690" s="4"/>
      <c r="C690" s="5"/>
      <c r="D690" s="4"/>
      <c r="E690" s="4"/>
    </row>
    <row r="691" ht="15.75" customHeight="1">
      <c r="A691" s="4"/>
      <c r="B691" s="4"/>
      <c r="C691" s="5"/>
      <c r="D691" s="4"/>
      <c r="E691" s="4"/>
    </row>
    <row r="692" ht="15.75" customHeight="1">
      <c r="A692" s="4"/>
      <c r="B692" s="4"/>
      <c r="C692" s="5"/>
      <c r="D692" s="4"/>
      <c r="E692" s="4"/>
    </row>
    <row r="693" ht="15.75" customHeight="1">
      <c r="A693" s="4"/>
      <c r="B693" s="4"/>
      <c r="C693" s="5"/>
      <c r="D693" s="4"/>
      <c r="E693" s="4"/>
    </row>
    <row r="694" ht="15.75" customHeight="1">
      <c r="A694" s="4"/>
      <c r="B694" s="4"/>
      <c r="C694" s="5"/>
      <c r="D694" s="4"/>
      <c r="E694" s="4"/>
    </row>
    <row r="695" ht="15.75" customHeight="1">
      <c r="A695" s="4"/>
      <c r="B695" s="4"/>
      <c r="C695" s="5"/>
      <c r="D695" s="4"/>
      <c r="E695" s="4"/>
    </row>
    <row r="696" ht="15.75" customHeight="1">
      <c r="A696" s="4"/>
      <c r="B696" s="4"/>
      <c r="C696" s="5"/>
      <c r="D696" s="4"/>
      <c r="E696" s="4"/>
    </row>
    <row r="697" ht="15.75" customHeight="1">
      <c r="A697" s="4"/>
      <c r="B697" s="4"/>
      <c r="C697" s="5"/>
      <c r="D697" s="4"/>
      <c r="E697" s="4"/>
    </row>
    <row r="698" ht="15.75" customHeight="1">
      <c r="A698" s="4"/>
      <c r="B698" s="4"/>
      <c r="C698" s="5"/>
      <c r="D698" s="4"/>
      <c r="E698" s="4"/>
    </row>
    <row r="699" ht="15.75" customHeight="1">
      <c r="A699" s="4"/>
      <c r="B699" s="4"/>
      <c r="C699" s="5"/>
      <c r="D699" s="4"/>
      <c r="E699" s="4"/>
    </row>
    <row r="700" ht="15.75" customHeight="1">
      <c r="A700" s="4"/>
      <c r="B700" s="4"/>
      <c r="C700" s="5"/>
      <c r="D700" s="4"/>
      <c r="E700" s="4"/>
    </row>
    <row r="701" ht="15.75" customHeight="1">
      <c r="A701" s="4"/>
      <c r="B701" s="4"/>
      <c r="C701" s="5"/>
      <c r="D701" s="4"/>
      <c r="E701" s="4"/>
    </row>
    <row r="702" ht="15.75" customHeight="1">
      <c r="A702" s="4"/>
      <c r="B702" s="4"/>
      <c r="C702" s="5"/>
      <c r="D702" s="4"/>
      <c r="E702" s="4"/>
    </row>
    <row r="703" ht="15.75" customHeight="1">
      <c r="A703" s="4"/>
      <c r="B703" s="4"/>
      <c r="C703" s="5"/>
      <c r="D703" s="4"/>
      <c r="E703" s="4"/>
    </row>
    <row r="704" ht="15.75" customHeight="1">
      <c r="A704" s="4"/>
      <c r="B704" s="4"/>
      <c r="C704" s="5"/>
      <c r="D704" s="4"/>
      <c r="E704" s="4"/>
    </row>
    <row r="705" ht="15.75" customHeight="1">
      <c r="A705" s="4"/>
      <c r="B705" s="4"/>
      <c r="C705" s="5"/>
      <c r="D705" s="4"/>
      <c r="E705" s="4"/>
    </row>
    <row r="706" ht="15.75" customHeight="1">
      <c r="A706" s="4"/>
      <c r="B706" s="4"/>
      <c r="C706" s="5"/>
      <c r="D706" s="4"/>
      <c r="E706" s="4"/>
    </row>
    <row r="707" ht="15.75" customHeight="1">
      <c r="A707" s="4"/>
      <c r="B707" s="4"/>
      <c r="C707" s="5"/>
      <c r="D707" s="4"/>
      <c r="E707" s="4"/>
    </row>
    <row r="708" ht="15.75" customHeight="1">
      <c r="A708" s="4"/>
      <c r="B708" s="4"/>
      <c r="C708" s="5"/>
      <c r="D708" s="4"/>
      <c r="E708" s="4"/>
    </row>
    <row r="709" ht="15.75" customHeight="1">
      <c r="A709" s="4"/>
      <c r="B709" s="4"/>
      <c r="C709" s="5"/>
      <c r="D709" s="4"/>
      <c r="E709" s="4"/>
    </row>
    <row r="710" ht="15.75" customHeight="1">
      <c r="A710" s="4"/>
      <c r="B710" s="4"/>
      <c r="C710" s="5"/>
      <c r="D710" s="4"/>
      <c r="E710" s="4"/>
    </row>
    <row r="711" ht="15.75" customHeight="1">
      <c r="A711" s="4"/>
      <c r="B711" s="4"/>
      <c r="C711" s="5"/>
      <c r="D711" s="4"/>
      <c r="E711" s="4"/>
    </row>
    <row r="712" ht="15.75" customHeight="1">
      <c r="A712" s="4"/>
      <c r="B712" s="4"/>
      <c r="C712" s="5"/>
      <c r="D712" s="4"/>
      <c r="E712" s="4"/>
    </row>
    <row r="713" ht="15.75" customHeight="1">
      <c r="A713" s="4"/>
      <c r="B713" s="4"/>
      <c r="C713" s="5"/>
      <c r="D713" s="4"/>
      <c r="E713" s="4"/>
    </row>
    <row r="714" ht="15.75" customHeight="1">
      <c r="A714" s="4"/>
      <c r="B714" s="4"/>
      <c r="C714" s="5"/>
      <c r="D714" s="4"/>
      <c r="E714" s="4"/>
    </row>
    <row r="715" ht="15.75" customHeight="1">
      <c r="A715" s="4"/>
      <c r="B715" s="4"/>
      <c r="C715" s="5"/>
      <c r="D715" s="4"/>
      <c r="E715" s="4"/>
    </row>
    <row r="716" ht="15.75" customHeight="1">
      <c r="A716" s="4"/>
      <c r="B716" s="4"/>
      <c r="C716" s="5"/>
      <c r="D716" s="4"/>
      <c r="E716" s="4"/>
    </row>
    <row r="717" ht="15.75" customHeight="1">
      <c r="A717" s="4"/>
      <c r="B717" s="4"/>
      <c r="C717" s="5"/>
      <c r="D717" s="4"/>
      <c r="E717" s="4"/>
    </row>
    <row r="718" ht="15.75" customHeight="1">
      <c r="A718" s="4"/>
      <c r="B718" s="4"/>
      <c r="C718" s="5"/>
      <c r="D718" s="4"/>
      <c r="E718" s="4"/>
    </row>
    <row r="719" ht="15.75" customHeight="1">
      <c r="A719" s="4"/>
      <c r="B719" s="4"/>
      <c r="C719" s="5"/>
      <c r="D719" s="4"/>
      <c r="E719" s="4"/>
    </row>
    <row r="720" ht="15.75" customHeight="1">
      <c r="A720" s="4"/>
      <c r="B720" s="4"/>
      <c r="C720" s="5"/>
      <c r="D720" s="4"/>
      <c r="E720" s="4"/>
    </row>
    <row r="721" ht="15.75" customHeight="1">
      <c r="A721" s="4"/>
      <c r="B721" s="4"/>
      <c r="C721" s="5"/>
      <c r="D721" s="4"/>
      <c r="E721" s="4"/>
    </row>
    <row r="722" ht="15.75" customHeight="1">
      <c r="A722" s="4"/>
      <c r="B722" s="4"/>
      <c r="C722" s="5"/>
      <c r="D722" s="4"/>
      <c r="E722" s="4"/>
    </row>
    <row r="723" ht="15.75" customHeight="1">
      <c r="A723" s="4"/>
      <c r="B723" s="4"/>
      <c r="C723" s="5"/>
      <c r="D723" s="4"/>
      <c r="E723" s="4"/>
    </row>
    <row r="724" ht="15.75" customHeight="1">
      <c r="A724" s="4"/>
      <c r="B724" s="4"/>
      <c r="C724" s="5"/>
      <c r="D724" s="4"/>
      <c r="E724" s="4"/>
    </row>
    <row r="725" ht="15.75" customHeight="1">
      <c r="A725" s="4"/>
      <c r="B725" s="4"/>
      <c r="C725" s="5"/>
      <c r="D725" s="4"/>
      <c r="E725" s="4"/>
    </row>
    <row r="726" ht="15.75" customHeight="1">
      <c r="A726" s="4"/>
      <c r="B726" s="4"/>
      <c r="C726" s="5"/>
      <c r="D726" s="4"/>
      <c r="E726" s="4"/>
    </row>
    <row r="727" ht="15.75" customHeight="1">
      <c r="A727" s="4"/>
      <c r="B727" s="4"/>
      <c r="C727" s="5"/>
      <c r="D727" s="4"/>
      <c r="E727" s="4"/>
    </row>
    <row r="728" ht="15.75" customHeight="1">
      <c r="A728" s="4"/>
      <c r="B728" s="4"/>
      <c r="C728" s="5"/>
      <c r="D728" s="4"/>
      <c r="E728" s="4"/>
    </row>
    <row r="729" ht="15.75" customHeight="1">
      <c r="A729" s="4"/>
      <c r="B729" s="4"/>
      <c r="C729" s="5"/>
      <c r="D729" s="4"/>
      <c r="E729" s="4"/>
    </row>
    <row r="730" ht="15.75" customHeight="1">
      <c r="A730" s="4"/>
      <c r="B730" s="4"/>
      <c r="C730" s="5"/>
      <c r="D730" s="4"/>
      <c r="E730" s="4"/>
    </row>
    <row r="731" ht="15.75" customHeight="1">
      <c r="A731" s="4"/>
      <c r="B731" s="4"/>
      <c r="C731" s="5"/>
      <c r="D731" s="4"/>
      <c r="E731" s="4"/>
    </row>
    <row r="732" ht="15.75" customHeight="1">
      <c r="A732" s="4"/>
      <c r="B732" s="4"/>
      <c r="C732" s="5"/>
      <c r="D732" s="4"/>
      <c r="E732" s="4"/>
    </row>
    <row r="733" ht="15.75" customHeight="1">
      <c r="A733" s="4"/>
      <c r="B733" s="4"/>
      <c r="C733" s="5"/>
      <c r="D733" s="4"/>
      <c r="E733" s="4"/>
    </row>
    <row r="734" ht="15.75" customHeight="1">
      <c r="A734" s="4"/>
      <c r="B734" s="4"/>
      <c r="C734" s="5"/>
      <c r="D734" s="4"/>
      <c r="E734" s="4"/>
    </row>
    <row r="735" ht="15.75" customHeight="1">
      <c r="A735" s="4"/>
      <c r="B735" s="4"/>
      <c r="C735" s="5"/>
      <c r="D735" s="4"/>
      <c r="E735" s="4"/>
    </row>
    <row r="736" ht="15.75" customHeight="1">
      <c r="A736" s="4"/>
      <c r="B736" s="4"/>
      <c r="C736" s="5"/>
      <c r="D736" s="4"/>
      <c r="E736" s="4"/>
    </row>
    <row r="737" ht="15.75" customHeight="1">
      <c r="A737" s="4"/>
      <c r="B737" s="4"/>
      <c r="C737" s="5"/>
      <c r="D737" s="4"/>
      <c r="E737" s="4"/>
    </row>
    <row r="738" ht="15.75" customHeight="1">
      <c r="A738" s="4"/>
      <c r="B738" s="4"/>
      <c r="C738" s="5"/>
      <c r="D738" s="4"/>
      <c r="E738" s="4"/>
    </row>
    <row r="739" ht="15.75" customHeight="1">
      <c r="A739" s="4"/>
      <c r="B739" s="4"/>
      <c r="C739" s="5"/>
      <c r="D739" s="4"/>
      <c r="E739" s="4"/>
    </row>
    <row r="740" ht="15.75" customHeight="1">
      <c r="A740" s="4"/>
      <c r="B740" s="4"/>
      <c r="C740" s="5"/>
      <c r="D740" s="4"/>
      <c r="E740" s="4"/>
    </row>
    <row r="741" ht="15.75" customHeight="1">
      <c r="A741" s="4"/>
      <c r="B741" s="4"/>
      <c r="C741" s="5"/>
      <c r="D741" s="4"/>
      <c r="E741" s="4"/>
    </row>
    <row r="742" ht="15.75" customHeight="1">
      <c r="A742" s="4"/>
      <c r="B742" s="4"/>
      <c r="C742" s="5"/>
      <c r="D742" s="4"/>
      <c r="E742" s="4"/>
    </row>
    <row r="743" ht="15.75" customHeight="1">
      <c r="A743" s="4"/>
      <c r="B743" s="4"/>
      <c r="C743" s="5"/>
      <c r="D743" s="4"/>
      <c r="E743" s="4"/>
    </row>
    <row r="744" ht="15.75" customHeight="1">
      <c r="A744" s="4"/>
      <c r="B744" s="4"/>
      <c r="C744" s="5"/>
      <c r="D744" s="4"/>
      <c r="E744" s="4"/>
    </row>
    <row r="745" ht="15.75" customHeight="1">
      <c r="A745" s="4"/>
      <c r="B745" s="4"/>
      <c r="C745" s="5"/>
      <c r="D745" s="4"/>
      <c r="E745" s="4"/>
    </row>
    <row r="746" ht="15.75" customHeight="1">
      <c r="A746" s="4"/>
      <c r="B746" s="4"/>
      <c r="C746" s="5"/>
      <c r="D746" s="4"/>
      <c r="E746" s="4"/>
    </row>
    <row r="747" ht="15.75" customHeight="1">
      <c r="A747" s="4"/>
      <c r="B747" s="4"/>
      <c r="C747" s="5"/>
      <c r="D747" s="4"/>
      <c r="E747" s="4"/>
    </row>
    <row r="748" ht="15.75" customHeight="1">
      <c r="A748" s="4"/>
      <c r="B748" s="4"/>
      <c r="C748" s="5"/>
      <c r="D748" s="4"/>
      <c r="E748" s="4"/>
    </row>
    <row r="749" ht="15.75" customHeight="1">
      <c r="A749" s="4"/>
      <c r="B749" s="4"/>
      <c r="C749" s="5"/>
      <c r="D749" s="4"/>
      <c r="E749" s="4"/>
    </row>
    <row r="750" ht="15.75" customHeight="1">
      <c r="A750" s="4"/>
      <c r="B750" s="4"/>
      <c r="C750" s="5"/>
      <c r="D750" s="4"/>
      <c r="E750" s="4"/>
    </row>
    <row r="751" ht="15.75" customHeight="1">
      <c r="A751" s="4"/>
      <c r="B751" s="4"/>
      <c r="C751" s="5"/>
      <c r="D751" s="4"/>
      <c r="E751" s="4"/>
    </row>
    <row r="752" ht="15.75" customHeight="1">
      <c r="A752" s="4"/>
      <c r="B752" s="4"/>
      <c r="C752" s="5"/>
      <c r="D752" s="4"/>
      <c r="E752" s="4"/>
    </row>
    <row r="753" ht="15.75" customHeight="1">
      <c r="A753" s="4"/>
      <c r="B753" s="4"/>
      <c r="C753" s="5"/>
      <c r="D753" s="4"/>
      <c r="E753" s="4"/>
    </row>
    <row r="754" ht="15.75" customHeight="1">
      <c r="A754" s="4"/>
      <c r="B754" s="4"/>
      <c r="C754" s="5"/>
      <c r="D754" s="4"/>
      <c r="E754" s="4"/>
    </row>
    <row r="755" ht="15.75" customHeight="1">
      <c r="A755" s="4"/>
      <c r="B755" s="4"/>
      <c r="C755" s="5"/>
      <c r="D755" s="4"/>
      <c r="E755" s="4"/>
    </row>
    <row r="756" ht="15.75" customHeight="1">
      <c r="A756" s="4"/>
      <c r="B756" s="4"/>
      <c r="C756" s="5"/>
      <c r="D756" s="4"/>
      <c r="E756" s="4"/>
    </row>
    <row r="757" ht="15.75" customHeight="1">
      <c r="A757" s="4"/>
      <c r="B757" s="4"/>
      <c r="C757" s="5"/>
      <c r="D757" s="4"/>
      <c r="E757" s="4"/>
    </row>
    <row r="758" ht="15.75" customHeight="1">
      <c r="A758" s="4"/>
      <c r="B758" s="4"/>
      <c r="C758" s="5"/>
      <c r="D758" s="4"/>
      <c r="E758" s="4"/>
    </row>
    <row r="759" ht="15.75" customHeight="1">
      <c r="A759" s="4"/>
      <c r="B759" s="4"/>
      <c r="C759" s="5"/>
      <c r="D759" s="4"/>
      <c r="E759" s="4"/>
    </row>
    <row r="760" ht="15.75" customHeight="1">
      <c r="A760" s="4"/>
      <c r="B760" s="4"/>
      <c r="C760" s="5"/>
      <c r="D760" s="4"/>
      <c r="E760" s="4"/>
    </row>
    <row r="761" ht="15.75" customHeight="1">
      <c r="A761" s="4"/>
      <c r="B761" s="4"/>
      <c r="C761" s="5"/>
      <c r="D761" s="4"/>
      <c r="E761" s="4"/>
    </row>
    <row r="762" ht="15.75" customHeight="1">
      <c r="A762" s="4"/>
      <c r="B762" s="4"/>
      <c r="C762" s="5"/>
      <c r="D762" s="4"/>
      <c r="E762" s="4"/>
    </row>
    <row r="763" ht="15.75" customHeight="1">
      <c r="A763" s="4"/>
      <c r="B763" s="4"/>
      <c r="C763" s="5"/>
      <c r="D763" s="4"/>
      <c r="E763" s="4"/>
    </row>
    <row r="764" ht="15.75" customHeight="1">
      <c r="A764" s="4"/>
      <c r="B764" s="4"/>
      <c r="C764" s="5"/>
      <c r="D764" s="4"/>
      <c r="E764" s="4"/>
    </row>
    <row r="765" ht="15.75" customHeight="1">
      <c r="A765" s="4"/>
      <c r="B765" s="4"/>
      <c r="C765" s="5"/>
      <c r="D765" s="4"/>
      <c r="E765" s="4"/>
    </row>
    <row r="766" ht="15.75" customHeight="1">
      <c r="A766" s="4"/>
      <c r="B766" s="4"/>
      <c r="C766" s="5"/>
      <c r="D766" s="4"/>
      <c r="E766" s="4"/>
    </row>
    <row r="767" ht="15.75" customHeight="1">
      <c r="A767" s="4"/>
      <c r="B767" s="4"/>
      <c r="C767" s="5"/>
      <c r="D767" s="4"/>
      <c r="E767" s="4"/>
    </row>
    <row r="768" ht="15.75" customHeight="1">
      <c r="A768" s="4"/>
      <c r="B768" s="4"/>
      <c r="C768" s="5"/>
      <c r="D768" s="4"/>
      <c r="E768" s="4"/>
    </row>
    <row r="769" ht="15.75" customHeight="1">
      <c r="A769" s="4"/>
      <c r="B769" s="4"/>
      <c r="C769" s="5"/>
      <c r="D769" s="4"/>
      <c r="E769" s="4"/>
    </row>
    <row r="770" ht="15.75" customHeight="1">
      <c r="A770" s="4"/>
      <c r="B770" s="4"/>
      <c r="C770" s="5"/>
      <c r="D770" s="4"/>
      <c r="E770" s="4"/>
    </row>
    <row r="771" ht="15.75" customHeight="1">
      <c r="A771" s="4"/>
      <c r="B771" s="4"/>
      <c r="C771" s="5"/>
      <c r="D771" s="4"/>
      <c r="E771" s="4"/>
    </row>
    <row r="772" ht="15.75" customHeight="1">
      <c r="A772" s="4"/>
      <c r="B772" s="4"/>
      <c r="C772" s="5"/>
      <c r="D772" s="4"/>
      <c r="E772" s="4"/>
    </row>
    <row r="773" ht="15.75" customHeight="1">
      <c r="A773" s="4"/>
      <c r="B773" s="4"/>
      <c r="C773" s="5"/>
      <c r="D773" s="4"/>
      <c r="E773" s="4"/>
    </row>
    <row r="774" ht="15.75" customHeight="1">
      <c r="A774" s="4"/>
      <c r="B774" s="4"/>
      <c r="C774" s="5"/>
      <c r="D774" s="4"/>
      <c r="E774" s="4"/>
    </row>
    <row r="775" ht="15.75" customHeight="1">
      <c r="A775" s="4"/>
      <c r="B775" s="4"/>
      <c r="C775" s="5"/>
      <c r="D775" s="4"/>
      <c r="E775" s="4"/>
    </row>
    <row r="776" ht="15.75" customHeight="1">
      <c r="A776" s="4"/>
      <c r="B776" s="4"/>
      <c r="C776" s="5"/>
      <c r="D776" s="4"/>
      <c r="E776" s="4"/>
    </row>
    <row r="777" ht="15.75" customHeight="1">
      <c r="A777" s="4"/>
      <c r="B777" s="4"/>
      <c r="C777" s="5"/>
      <c r="D777" s="4"/>
      <c r="E777" s="4"/>
    </row>
    <row r="778" ht="15.75" customHeight="1">
      <c r="A778" s="4"/>
      <c r="B778" s="4"/>
      <c r="C778" s="5"/>
      <c r="D778" s="4"/>
      <c r="E778" s="4"/>
    </row>
    <row r="779" ht="15.75" customHeight="1">
      <c r="A779" s="4"/>
      <c r="B779" s="4"/>
      <c r="C779" s="5"/>
      <c r="D779" s="4"/>
      <c r="E779" s="4"/>
    </row>
    <row r="780" ht="15.75" customHeight="1">
      <c r="A780" s="4"/>
      <c r="B780" s="4"/>
      <c r="C780" s="5"/>
      <c r="D780" s="4"/>
      <c r="E780" s="4"/>
    </row>
    <row r="781" ht="15.75" customHeight="1">
      <c r="A781" s="4"/>
      <c r="B781" s="4"/>
      <c r="C781" s="5"/>
      <c r="D781" s="4"/>
      <c r="E781" s="4"/>
    </row>
    <row r="782" ht="15.75" customHeight="1">
      <c r="A782" s="4"/>
      <c r="B782" s="4"/>
      <c r="C782" s="5"/>
      <c r="D782" s="4"/>
      <c r="E782" s="4"/>
    </row>
    <row r="783" ht="15.75" customHeight="1">
      <c r="A783" s="4"/>
      <c r="B783" s="4"/>
      <c r="C783" s="5"/>
      <c r="D783" s="4"/>
      <c r="E783" s="4"/>
    </row>
    <row r="784" ht="15.75" customHeight="1">
      <c r="A784" s="4"/>
      <c r="B784" s="4"/>
      <c r="C784" s="5"/>
      <c r="D784" s="4"/>
      <c r="E784" s="4"/>
    </row>
    <row r="785" ht="15.75" customHeight="1">
      <c r="A785" s="4"/>
      <c r="B785" s="4"/>
      <c r="C785" s="5"/>
      <c r="D785" s="4"/>
      <c r="E785" s="4"/>
    </row>
    <row r="786" ht="15.75" customHeight="1">
      <c r="A786" s="4"/>
      <c r="B786" s="4"/>
      <c r="C786" s="5"/>
      <c r="D786" s="4"/>
      <c r="E786" s="4"/>
    </row>
    <row r="787" ht="15.75" customHeight="1">
      <c r="A787" s="4"/>
      <c r="B787" s="4"/>
      <c r="C787" s="5"/>
      <c r="D787" s="4"/>
      <c r="E787" s="4"/>
    </row>
    <row r="788" ht="15.75" customHeight="1">
      <c r="A788" s="4"/>
      <c r="B788" s="4"/>
      <c r="C788" s="5"/>
      <c r="D788" s="4"/>
      <c r="E788" s="4"/>
    </row>
    <row r="789" ht="15.75" customHeight="1">
      <c r="A789" s="4"/>
      <c r="B789" s="4"/>
      <c r="C789" s="5"/>
      <c r="D789" s="4"/>
      <c r="E789" s="4"/>
    </row>
    <row r="790" ht="15.75" customHeight="1">
      <c r="A790" s="4"/>
      <c r="B790" s="4"/>
      <c r="C790" s="5"/>
      <c r="D790" s="4"/>
      <c r="E790" s="4"/>
    </row>
    <row r="791" ht="15.75" customHeight="1">
      <c r="A791" s="4"/>
      <c r="B791" s="4"/>
      <c r="C791" s="5"/>
      <c r="D791" s="4"/>
      <c r="E791" s="4"/>
    </row>
    <row r="792" ht="15.75" customHeight="1">
      <c r="A792" s="4"/>
      <c r="B792" s="4"/>
      <c r="C792" s="5"/>
      <c r="D792" s="4"/>
      <c r="E792" s="4"/>
    </row>
    <row r="793" ht="15.75" customHeight="1">
      <c r="A793" s="4"/>
      <c r="B793" s="4"/>
      <c r="C793" s="5"/>
      <c r="D793" s="4"/>
      <c r="E793" s="4"/>
    </row>
    <row r="794" ht="15.75" customHeight="1">
      <c r="A794" s="4"/>
      <c r="B794" s="4"/>
      <c r="C794" s="5"/>
      <c r="D794" s="4"/>
      <c r="E794" s="4"/>
    </row>
    <row r="795" ht="15.75" customHeight="1">
      <c r="A795" s="4"/>
      <c r="B795" s="4"/>
      <c r="C795" s="5"/>
      <c r="D795" s="4"/>
      <c r="E795" s="4"/>
    </row>
    <row r="796" ht="15.75" customHeight="1">
      <c r="A796" s="4"/>
      <c r="B796" s="4"/>
      <c r="C796" s="5"/>
      <c r="D796" s="4"/>
      <c r="E796" s="4"/>
    </row>
    <row r="797" ht="15.75" customHeight="1">
      <c r="A797" s="4"/>
      <c r="B797" s="4"/>
      <c r="C797" s="5"/>
      <c r="D797" s="4"/>
      <c r="E797" s="4"/>
    </row>
    <row r="798" ht="15.75" customHeight="1">
      <c r="A798" s="4"/>
      <c r="B798" s="4"/>
      <c r="C798" s="5"/>
      <c r="D798" s="4"/>
      <c r="E798" s="4"/>
    </row>
    <row r="799" ht="15.75" customHeight="1">
      <c r="A799" s="4"/>
      <c r="B799" s="4"/>
      <c r="C799" s="5"/>
      <c r="D799" s="4"/>
      <c r="E799" s="4"/>
    </row>
    <row r="800" ht="15.75" customHeight="1">
      <c r="A800" s="4"/>
      <c r="B800" s="4"/>
      <c r="C800" s="5"/>
      <c r="D800" s="4"/>
      <c r="E800" s="4"/>
    </row>
    <row r="801" ht="15.75" customHeight="1">
      <c r="A801" s="4"/>
      <c r="B801" s="4"/>
      <c r="C801" s="5"/>
      <c r="D801" s="4"/>
      <c r="E801" s="4"/>
    </row>
    <row r="802" ht="15.75" customHeight="1">
      <c r="A802" s="4"/>
      <c r="B802" s="4"/>
      <c r="C802" s="5"/>
      <c r="D802" s="4"/>
      <c r="E802" s="4"/>
    </row>
    <row r="803" ht="15.75" customHeight="1">
      <c r="A803" s="4"/>
      <c r="B803" s="4"/>
      <c r="C803" s="5"/>
      <c r="D803" s="4"/>
      <c r="E803" s="4"/>
    </row>
    <row r="804" ht="15.75" customHeight="1">
      <c r="A804" s="4"/>
      <c r="B804" s="4"/>
      <c r="C804" s="5"/>
      <c r="D804" s="4"/>
      <c r="E804" s="4"/>
    </row>
    <row r="805" ht="15.75" customHeight="1">
      <c r="A805" s="4"/>
      <c r="B805" s="4"/>
      <c r="C805" s="5"/>
      <c r="D805" s="4"/>
      <c r="E805" s="4"/>
    </row>
    <row r="806" ht="15.75" customHeight="1">
      <c r="A806" s="4"/>
      <c r="B806" s="4"/>
      <c r="C806" s="5"/>
      <c r="D806" s="4"/>
      <c r="E806" s="4"/>
    </row>
    <row r="807" ht="15.75" customHeight="1">
      <c r="A807" s="4"/>
      <c r="B807" s="4"/>
      <c r="C807" s="5"/>
      <c r="D807" s="4"/>
      <c r="E807" s="4"/>
    </row>
    <row r="808" ht="15.75" customHeight="1">
      <c r="A808" s="4"/>
      <c r="B808" s="4"/>
      <c r="C808" s="5"/>
      <c r="D808" s="4"/>
      <c r="E808" s="4"/>
    </row>
    <row r="809" ht="15.75" customHeight="1">
      <c r="A809" s="4"/>
      <c r="B809" s="4"/>
      <c r="C809" s="5"/>
      <c r="D809" s="4"/>
      <c r="E809" s="4"/>
    </row>
    <row r="810" ht="15.75" customHeight="1">
      <c r="A810" s="4"/>
      <c r="B810" s="4"/>
      <c r="C810" s="5"/>
      <c r="D810" s="4"/>
      <c r="E810" s="4"/>
    </row>
    <row r="811" ht="15.75" customHeight="1">
      <c r="A811" s="4"/>
      <c r="B811" s="4"/>
      <c r="C811" s="5"/>
      <c r="D811" s="4"/>
      <c r="E811" s="4"/>
    </row>
    <row r="812" ht="15.75" customHeight="1">
      <c r="A812" s="4"/>
      <c r="B812" s="4"/>
      <c r="C812" s="5"/>
      <c r="D812" s="4"/>
      <c r="E812" s="4"/>
    </row>
    <row r="813" ht="15.75" customHeight="1">
      <c r="A813" s="4"/>
      <c r="B813" s="4"/>
      <c r="C813" s="5"/>
      <c r="D813" s="4"/>
      <c r="E813" s="4"/>
    </row>
    <row r="814" ht="15.75" customHeight="1">
      <c r="A814" s="4"/>
      <c r="B814" s="4"/>
      <c r="C814" s="5"/>
      <c r="D814" s="4"/>
      <c r="E814" s="4"/>
    </row>
    <row r="815" ht="15.75" customHeight="1">
      <c r="A815" s="4"/>
      <c r="B815" s="4"/>
      <c r="C815" s="5"/>
      <c r="D815" s="4"/>
      <c r="E815" s="4"/>
    </row>
    <row r="816" ht="15.75" customHeight="1">
      <c r="A816" s="4"/>
      <c r="B816" s="4"/>
      <c r="C816" s="5"/>
      <c r="D816" s="4"/>
      <c r="E816" s="4"/>
    </row>
    <row r="817" ht="15.75" customHeight="1">
      <c r="A817" s="4"/>
      <c r="B817" s="4"/>
      <c r="C817" s="5"/>
      <c r="D817" s="4"/>
      <c r="E817" s="4"/>
    </row>
    <row r="818" ht="15.75" customHeight="1">
      <c r="A818" s="4"/>
      <c r="B818" s="4"/>
      <c r="C818" s="5"/>
      <c r="D818" s="4"/>
      <c r="E818" s="4"/>
    </row>
    <row r="819" ht="15.75" customHeight="1">
      <c r="A819" s="4"/>
      <c r="B819" s="4"/>
      <c r="C819" s="5"/>
      <c r="D819" s="4"/>
      <c r="E819" s="4"/>
    </row>
    <row r="820" ht="15.75" customHeight="1">
      <c r="A820" s="4"/>
      <c r="B820" s="4"/>
      <c r="C820" s="5"/>
      <c r="D820" s="4"/>
      <c r="E820" s="4"/>
    </row>
    <row r="821" ht="15.75" customHeight="1">
      <c r="A821" s="4"/>
      <c r="B821" s="4"/>
      <c r="C821" s="5"/>
      <c r="D821" s="4"/>
      <c r="E821" s="4"/>
    </row>
    <row r="822" ht="15.75" customHeight="1">
      <c r="A822" s="4"/>
      <c r="B822" s="4"/>
      <c r="C822" s="5"/>
      <c r="D822" s="4"/>
      <c r="E822" s="4"/>
    </row>
    <row r="823" ht="15.75" customHeight="1">
      <c r="A823" s="4"/>
      <c r="B823" s="4"/>
      <c r="C823" s="5"/>
      <c r="D823" s="4"/>
      <c r="E823" s="4"/>
    </row>
    <row r="824" ht="15.75" customHeight="1">
      <c r="A824" s="4"/>
      <c r="B824" s="4"/>
      <c r="C824" s="5"/>
      <c r="D824" s="4"/>
      <c r="E824" s="4"/>
    </row>
    <row r="825" ht="15.75" customHeight="1">
      <c r="A825" s="4"/>
      <c r="B825" s="4"/>
      <c r="C825" s="5"/>
      <c r="D825" s="4"/>
      <c r="E825" s="4"/>
    </row>
    <row r="826" ht="15.75" customHeight="1">
      <c r="A826" s="4"/>
      <c r="B826" s="4"/>
      <c r="C826" s="5"/>
      <c r="D826" s="4"/>
      <c r="E826" s="4"/>
    </row>
    <row r="827" ht="15.75" customHeight="1">
      <c r="A827" s="4"/>
      <c r="B827" s="4"/>
      <c r="C827" s="5"/>
      <c r="D827" s="4"/>
      <c r="E827" s="4"/>
    </row>
    <row r="828" ht="15.75" customHeight="1">
      <c r="A828" s="4"/>
      <c r="B828" s="4"/>
      <c r="C828" s="5"/>
      <c r="D828" s="4"/>
      <c r="E828" s="4"/>
    </row>
    <row r="829" ht="15.75" customHeight="1">
      <c r="A829" s="4"/>
      <c r="B829" s="4"/>
      <c r="C829" s="5"/>
      <c r="D829" s="4"/>
      <c r="E829" s="4"/>
    </row>
    <row r="830" ht="15.75" customHeight="1">
      <c r="A830" s="4"/>
      <c r="B830" s="4"/>
      <c r="C830" s="5"/>
      <c r="D830" s="4"/>
      <c r="E830" s="4"/>
    </row>
    <row r="831" ht="15.75" customHeight="1">
      <c r="A831" s="4"/>
      <c r="B831" s="4"/>
      <c r="C831" s="5"/>
      <c r="D831" s="4"/>
      <c r="E831" s="4"/>
    </row>
    <row r="832" ht="15.75" customHeight="1">
      <c r="A832" s="4"/>
      <c r="B832" s="4"/>
      <c r="C832" s="5"/>
      <c r="D832" s="4"/>
      <c r="E832" s="4"/>
    </row>
    <row r="833" ht="15.75" customHeight="1">
      <c r="A833" s="4"/>
      <c r="B833" s="4"/>
      <c r="C833" s="5"/>
      <c r="D833" s="4"/>
      <c r="E833" s="4"/>
    </row>
    <row r="834" ht="15.75" customHeight="1">
      <c r="A834" s="4"/>
      <c r="B834" s="4"/>
      <c r="C834" s="5"/>
      <c r="D834" s="4"/>
      <c r="E834" s="4"/>
    </row>
    <row r="835" ht="15.75" customHeight="1">
      <c r="A835" s="4"/>
      <c r="B835" s="4"/>
      <c r="C835" s="5"/>
      <c r="D835" s="4"/>
      <c r="E835" s="4"/>
    </row>
    <row r="836" ht="15.75" customHeight="1">
      <c r="A836" s="4"/>
      <c r="B836" s="4"/>
      <c r="C836" s="5"/>
      <c r="D836" s="4"/>
      <c r="E836" s="4"/>
    </row>
    <row r="837" ht="15.75" customHeight="1">
      <c r="A837" s="4"/>
      <c r="B837" s="4"/>
      <c r="C837" s="5"/>
      <c r="D837" s="4"/>
      <c r="E837" s="4"/>
    </row>
    <row r="838" ht="15.75" customHeight="1">
      <c r="A838" s="4"/>
      <c r="B838" s="4"/>
      <c r="C838" s="5"/>
      <c r="D838" s="4"/>
      <c r="E838" s="4"/>
    </row>
    <row r="839" ht="15.75" customHeight="1">
      <c r="A839" s="4"/>
      <c r="B839" s="4"/>
      <c r="C839" s="5"/>
      <c r="D839" s="4"/>
      <c r="E839" s="4"/>
    </row>
    <row r="840" ht="15.75" customHeight="1">
      <c r="A840" s="4"/>
      <c r="B840" s="4"/>
      <c r="C840" s="5"/>
      <c r="D840" s="4"/>
      <c r="E840" s="4"/>
    </row>
    <row r="841" ht="15.75" customHeight="1">
      <c r="A841" s="4"/>
      <c r="B841" s="4"/>
      <c r="C841" s="5"/>
      <c r="D841" s="4"/>
      <c r="E841" s="4"/>
    </row>
    <row r="842" ht="15.75" customHeight="1">
      <c r="A842" s="4"/>
      <c r="B842" s="4"/>
      <c r="C842" s="5"/>
      <c r="D842" s="4"/>
      <c r="E842" s="4"/>
    </row>
    <row r="843" ht="15.75" customHeight="1">
      <c r="A843" s="4"/>
      <c r="B843" s="4"/>
      <c r="C843" s="5"/>
      <c r="D843" s="4"/>
      <c r="E843" s="4"/>
    </row>
    <row r="844" ht="15.75" customHeight="1">
      <c r="A844" s="4"/>
      <c r="B844" s="4"/>
      <c r="C844" s="5"/>
      <c r="D844" s="4"/>
      <c r="E844" s="4"/>
    </row>
    <row r="845" ht="15.75" customHeight="1">
      <c r="A845" s="4"/>
      <c r="B845" s="4"/>
      <c r="C845" s="5"/>
      <c r="D845" s="4"/>
      <c r="E845" s="4"/>
    </row>
    <row r="846" ht="15.75" customHeight="1">
      <c r="A846" s="4"/>
      <c r="B846" s="4"/>
      <c r="C846" s="5"/>
      <c r="D846" s="4"/>
      <c r="E846" s="4"/>
    </row>
    <row r="847" ht="15.75" customHeight="1">
      <c r="A847" s="4"/>
      <c r="B847" s="4"/>
      <c r="C847" s="5"/>
      <c r="D847" s="4"/>
      <c r="E847" s="4"/>
    </row>
    <row r="848" ht="15.75" customHeight="1">
      <c r="A848" s="4"/>
      <c r="B848" s="4"/>
      <c r="C848" s="5"/>
      <c r="D848" s="4"/>
      <c r="E848" s="4"/>
    </row>
    <row r="849" ht="15.75" customHeight="1">
      <c r="A849" s="4"/>
      <c r="B849" s="4"/>
      <c r="C849" s="5"/>
      <c r="D849" s="4"/>
      <c r="E849" s="4"/>
    </row>
    <row r="850" ht="15.75" customHeight="1">
      <c r="A850" s="4"/>
      <c r="B850" s="4"/>
      <c r="C850" s="5"/>
      <c r="D850" s="4"/>
      <c r="E850" s="4"/>
    </row>
    <row r="851" ht="15.75" customHeight="1">
      <c r="A851" s="4"/>
      <c r="B851" s="4"/>
      <c r="C851" s="5"/>
      <c r="D851" s="4"/>
      <c r="E851" s="4"/>
    </row>
    <row r="852" ht="15.75" customHeight="1">
      <c r="A852" s="4"/>
      <c r="B852" s="4"/>
      <c r="C852" s="5"/>
      <c r="D852" s="4"/>
      <c r="E852" s="4"/>
    </row>
    <row r="853" ht="15.75" customHeight="1">
      <c r="A853" s="4"/>
      <c r="B853" s="4"/>
      <c r="C853" s="5"/>
      <c r="D853" s="4"/>
      <c r="E853" s="4"/>
    </row>
    <row r="854" ht="15.75" customHeight="1">
      <c r="A854" s="4"/>
      <c r="B854" s="4"/>
      <c r="C854" s="5"/>
      <c r="D854" s="4"/>
      <c r="E854" s="4"/>
    </row>
    <row r="855" ht="15.75" customHeight="1">
      <c r="A855" s="4"/>
      <c r="B855" s="4"/>
      <c r="C855" s="5"/>
      <c r="D855" s="4"/>
      <c r="E855" s="4"/>
    </row>
    <row r="856" ht="15.75" customHeight="1">
      <c r="A856" s="4"/>
      <c r="B856" s="4"/>
      <c r="C856" s="5"/>
      <c r="D856" s="4"/>
      <c r="E856" s="4"/>
    </row>
    <row r="857" ht="15.75" customHeight="1">
      <c r="A857" s="4"/>
      <c r="B857" s="4"/>
      <c r="C857" s="5"/>
      <c r="D857" s="4"/>
      <c r="E857" s="4"/>
    </row>
    <row r="858" ht="15.75" customHeight="1">
      <c r="A858" s="4"/>
      <c r="B858" s="4"/>
      <c r="C858" s="5"/>
      <c r="D858" s="4"/>
      <c r="E858" s="4"/>
    </row>
    <row r="859" ht="15.75" customHeight="1">
      <c r="A859" s="4"/>
      <c r="B859" s="4"/>
      <c r="C859" s="5"/>
      <c r="D859" s="4"/>
      <c r="E859" s="4"/>
    </row>
    <row r="860" ht="15.75" customHeight="1">
      <c r="A860" s="4"/>
      <c r="B860" s="4"/>
      <c r="C860" s="5"/>
      <c r="D860" s="4"/>
      <c r="E860" s="4"/>
    </row>
    <row r="861" ht="15.75" customHeight="1">
      <c r="A861" s="4"/>
      <c r="B861" s="4"/>
      <c r="C861" s="5"/>
      <c r="D861" s="4"/>
      <c r="E861" s="4"/>
    </row>
    <row r="862" ht="15.75" customHeight="1">
      <c r="A862" s="4"/>
      <c r="B862" s="4"/>
      <c r="C862" s="5"/>
      <c r="D862" s="4"/>
      <c r="E862" s="4"/>
    </row>
    <row r="863" ht="15.75" customHeight="1">
      <c r="A863" s="4"/>
      <c r="B863" s="4"/>
      <c r="C863" s="5"/>
      <c r="D863" s="4"/>
      <c r="E863" s="4"/>
    </row>
    <row r="864" ht="15.75" customHeight="1">
      <c r="A864" s="4"/>
      <c r="B864" s="4"/>
      <c r="C864" s="5"/>
      <c r="D864" s="4"/>
      <c r="E864" s="4"/>
    </row>
    <row r="865" ht="15.75" customHeight="1">
      <c r="A865" s="4"/>
      <c r="B865" s="4"/>
      <c r="C865" s="5"/>
      <c r="D865" s="4"/>
      <c r="E865" s="4"/>
    </row>
    <row r="866" ht="15.75" customHeight="1">
      <c r="A866" s="4"/>
      <c r="B866" s="4"/>
      <c r="C866" s="5"/>
      <c r="D866" s="4"/>
      <c r="E866" s="4"/>
    </row>
    <row r="867" ht="15.75" customHeight="1">
      <c r="A867" s="4"/>
      <c r="B867" s="4"/>
      <c r="C867" s="5"/>
      <c r="D867" s="4"/>
      <c r="E867" s="4"/>
    </row>
    <row r="868" ht="15.75" customHeight="1">
      <c r="A868" s="4"/>
      <c r="B868" s="4"/>
      <c r="C868" s="5"/>
      <c r="D868" s="4"/>
      <c r="E868" s="4"/>
    </row>
    <row r="869" ht="15.75" customHeight="1">
      <c r="A869" s="4"/>
      <c r="B869" s="4"/>
      <c r="C869" s="5"/>
      <c r="D869" s="4"/>
      <c r="E869" s="4"/>
    </row>
    <row r="870" ht="15.75" customHeight="1">
      <c r="A870" s="4"/>
      <c r="B870" s="4"/>
      <c r="C870" s="5"/>
      <c r="D870" s="4"/>
      <c r="E870" s="4"/>
    </row>
    <row r="871" ht="15.75" customHeight="1">
      <c r="A871" s="4"/>
      <c r="B871" s="4"/>
      <c r="C871" s="5"/>
      <c r="D871" s="4"/>
      <c r="E871" s="4"/>
    </row>
    <row r="872" ht="15.75" customHeight="1">
      <c r="A872" s="4"/>
      <c r="B872" s="4"/>
      <c r="C872" s="5"/>
      <c r="D872" s="4"/>
      <c r="E872" s="4"/>
    </row>
    <row r="873" ht="15.75" customHeight="1">
      <c r="A873" s="4"/>
      <c r="B873" s="4"/>
      <c r="C873" s="5"/>
      <c r="D873" s="4"/>
      <c r="E873" s="4"/>
    </row>
    <row r="874" ht="15.75" customHeight="1">
      <c r="A874" s="4"/>
      <c r="B874" s="4"/>
      <c r="C874" s="5"/>
      <c r="D874" s="4"/>
      <c r="E874" s="4"/>
    </row>
    <row r="875" ht="15.75" customHeight="1">
      <c r="A875" s="4"/>
      <c r="B875" s="4"/>
      <c r="C875" s="5"/>
      <c r="D875" s="4"/>
      <c r="E875" s="4"/>
    </row>
    <row r="876" ht="15.75" customHeight="1">
      <c r="A876" s="4"/>
      <c r="B876" s="4"/>
      <c r="C876" s="5"/>
      <c r="D876" s="4"/>
      <c r="E876" s="4"/>
    </row>
    <row r="877" ht="15.75" customHeight="1">
      <c r="A877" s="4"/>
      <c r="B877" s="4"/>
      <c r="C877" s="5"/>
      <c r="D877" s="4"/>
      <c r="E877" s="4"/>
    </row>
    <row r="878" ht="15.75" customHeight="1">
      <c r="A878" s="4"/>
      <c r="B878" s="4"/>
      <c r="C878" s="5"/>
      <c r="D878" s="4"/>
      <c r="E878" s="4"/>
    </row>
    <row r="879" ht="15.75" customHeight="1">
      <c r="A879" s="4"/>
      <c r="B879" s="4"/>
      <c r="C879" s="5"/>
      <c r="D879" s="4"/>
      <c r="E879" s="4"/>
    </row>
    <row r="880" ht="15.75" customHeight="1">
      <c r="A880" s="4"/>
      <c r="B880" s="4"/>
      <c r="C880" s="5"/>
      <c r="D880" s="4"/>
      <c r="E880" s="4"/>
    </row>
    <row r="881" ht="15.75" customHeight="1">
      <c r="A881" s="4"/>
      <c r="B881" s="4"/>
      <c r="C881" s="5"/>
      <c r="D881" s="4"/>
      <c r="E881" s="4"/>
    </row>
    <row r="882" ht="15.75" customHeight="1">
      <c r="A882" s="4"/>
      <c r="B882" s="4"/>
      <c r="C882" s="5"/>
      <c r="D882" s="4"/>
      <c r="E882" s="4"/>
    </row>
    <row r="883" ht="15.75" customHeight="1">
      <c r="A883" s="4"/>
      <c r="B883" s="4"/>
      <c r="C883" s="5"/>
      <c r="D883" s="4"/>
      <c r="E883" s="4"/>
    </row>
    <row r="884" ht="15.75" customHeight="1">
      <c r="A884" s="4"/>
      <c r="B884" s="4"/>
      <c r="C884" s="5"/>
      <c r="D884" s="4"/>
      <c r="E884" s="4"/>
    </row>
    <row r="885" ht="15.75" customHeight="1">
      <c r="A885" s="4"/>
      <c r="B885" s="4"/>
      <c r="C885" s="5"/>
      <c r="D885" s="4"/>
      <c r="E885" s="4"/>
    </row>
    <row r="886" ht="15.75" customHeight="1">
      <c r="A886" s="4"/>
      <c r="B886" s="4"/>
      <c r="C886" s="5"/>
      <c r="D886" s="4"/>
      <c r="E886" s="4"/>
    </row>
    <row r="887" ht="15.75" customHeight="1">
      <c r="A887" s="4"/>
      <c r="B887" s="4"/>
      <c r="C887" s="5"/>
      <c r="D887" s="4"/>
      <c r="E887" s="4"/>
    </row>
    <row r="888" ht="15.75" customHeight="1">
      <c r="A888" s="4"/>
      <c r="B888" s="4"/>
      <c r="C888" s="5"/>
      <c r="D888" s="4"/>
      <c r="E888" s="4"/>
    </row>
    <row r="889" ht="15.75" customHeight="1">
      <c r="A889" s="4"/>
      <c r="B889" s="4"/>
      <c r="C889" s="5"/>
      <c r="D889" s="4"/>
      <c r="E889" s="4"/>
    </row>
    <row r="890" ht="15.75" customHeight="1">
      <c r="A890" s="4"/>
      <c r="B890" s="4"/>
      <c r="C890" s="5"/>
      <c r="D890" s="4"/>
      <c r="E890" s="4"/>
    </row>
    <row r="891" ht="15.75" customHeight="1">
      <c r="A891" s="4"/>
      <c r="B891" s="4"/>
      <c r="C891" s="5"/>
      <c r="D891" s="4"/>
      <c r="E891" s="4"/>
    </row>
    <row r="892" ht="15.75" customHeight="1">
      <c r="A892" s="4"/>
      <c r="B892" s="4"/>
      <c r="C892" s="5"/>
      <c r="D892" s="4"/>
      <c r="E892" s="4"/>
    </row>
    <row r="893" ht="15.75" customHeight="1">
      <c r="A893" s="4"/>
      <c r="B893" s="4"/>
      <c r="C893" s="5"/>
      <c r="D893" s="4"/>
      <c r="E893" s="4"/>
    </row>
    <row r="894" ht="15.75" customHeight="1">
      <c r="A894" s="4"/>
      <c r="B894" s="4"/>
      <c r="C894" s="5"/>
      <c r="D894" s="4"/>
      <c r="E894" s="4"/>
    </row>
    <row r="895" ht="15.75" customHeight="1">
      <c r="A895" s="4"/>
      <c r="B895" s="4"/>
      <c r="C895" s="5"/>
      <c r="D895" s="4"/>
      <c r="E895" s="4"/>
    </row>
    <row r="896" ht="15.75" customHeight="1">
      <c r="A896" s="4"/>
      <c r="B896" s="4"/>
      <c r="C896" s="5"/>
      <c r="D896" s="4"/>
      <c r="E896" s="4"/>
    </row>
    <row r="897" ht="15.75" customHeight="1">
      <c r="A897" s="4"/>
      <c r="B897" s="4"/>
      <c r="C897" s="5"/>
      <c r="D897" s="4"/>
      <c r="E897" s="4"/>
    </row>
    <row r="898" ht="15.75" customHeight="1">
      <c r="A898" s="4"/>
      <c r="B898" s="4"/>
      <c r="C898" s="5"/>
      <c r="D898" s="4"/>
      <c r="E898" s="4"/>
    </row>
    <row r="899" ht="15.75" customHeight="1">
      <c r="A899" s="4"/>
      <c r="B899" s="4"/>
      <c r="C899" s="5"/>
      <c r="D899" s="4"/>
      <c r="E899" s="4"/>
    </row>
    <row r="900" ht="15.75" customHeight="1">
      <c r="A900" s="4"/>
      <c r="B900" s="4"/>
      <c r="C900" s="5"/>
      <c r="D900" s="4"/>
      <c r="E900" s="4"/>
    </row>
    <row r="901" ht="15.75" customHeight="1">
      <c r="A901" s="4"/>
      <c r="B901" s="4"/>
      <c r="C901" s="5"/>
      <c r="D901" s="4"/>
      <c r="E901" s="4"/>
    </row>
    <row r="902" ht="15.75" customHeight="1">
      <c r="A902" s="4"/>
      <c r="B902" s="4"/>
      <c r="C902" s="5"/>
      <c r="D902" s="4"/>
      <c r="E902" s="4"/>
    </row>
    <row r="903" ht="15.75" customHeight="1">
      <c r="A903" s="4"/>
      <c r="B903" s="4"/>
      <c r="C903" s="5"/>
      <c r="D903" s="4"/>
      <c r="E903" s="4"/>
    </row>
    <row r="904" ht="15.75" customHeight="1">
      <c r="A904" s="4"/>
      <c r="B904" s="4"/>
      <c r="C904" s="5"/>
      <c r="D904" s="4"/>
      <c r="E904" s="4"/>
    </row>
    <row r="905" ht="15.75" customHeight="1">
      <c r="A905" s="4"/>
      <c r="B905" s="4"/>
      <c r="C905" s="5"/>
      <c r="D905" s="4"/>
      <c r="E905" s="4"/>
    </row>
    <row r="906" ht="15.75" customHeight="1">
      <c r="A906" s="4"/>
      <c r="B906" s="4"/>
      <c r="C906" s="5"/>
      <c r="D906" s="4"/>
      <c r="E906" s="4"/>
    </row>
    <row r="907" ht="15.75" customHeight="1">
      <c r="A907" s="4"/>
      <c r="B907" s="4"/>
      <c r="C907" s="5"/>
      <c r="D907" s="4"/>
      <c r="E907" s="4"/>
    </row>
    <row r="908" ht="15.75" customHeight="1">
      <c r="A908" s="4"/>
      <c r="B908" s="4"/>
      <c r="C908" s="5"/>
      <c r="D908" s="4"/>
      <c r="E908" s="4"/>
    </row>
    <row r="909" ht="15.75" customHeight="1">
      <c r="A909" s="4"/>
      <c r="B909" s="4"/>
      <c r="C909" s="5"/>
      <c r="D909" s="4"/>
      <c r="E909" s="4"/>
    </row>
    <row r="910" ht="15.75" customHeight="1">
      <c r="A910" s="4"/>
      <c r="B910" s="4"/>
      <c r="C910" s="5"/>
      <c r="D910" s="4"/>
      <c r="E910" s="4"/>
    </row>
    <row r="911" ht="15.75" customHeight="1">
      <c r="A911" s="4"/>
      <c r="B911" s="4"/>
      <c r="C911" s="5"/>
      <c r="D911" s="4"/>
      <c r="E911" s="4"/>
    </row>
    <row r="912" ht="15.75" customHeight="1">
      <c r="A912" s="4"/>
      <c r="B912" s="4"/>
      <c r="C912" s="5"/>
      <c r="D912" s="4"/>
      <c r="E912" s="4"/>
    </row>
    <row r="913" ht="15.75" customHeight="1">
      <c r="A913" s="4"/>
      <c r="B913" s="4"/>
      <c r="C913" s="5"/>
      <c r="D913" s="4"/>
      <c r="E913" s="4"/>
    </row>
    <row r="914" ht="15.75" customHeight="1">
      <c r="A914" s="4"/>
      <c r="B914" s="4"/>
      <c r="C914" s="5"/>
      <c r="D914" s="4"/>
      <c r="E914" s="4"/>
    </row>
    <row r="915" ht="15.75" customHeight="1">
      <c r="A915" s="4"/>
      <c r="B915" s="4"/>
      <c r="C915" s="5"/>
      <c r="D915" s="4"/>
      <c r="E915" s="4"/>
    </row>
    <row r="916" ht="15.75" customHeight="1">
      <c r="A916" s="4"/>
      <c r="B916" s="4"/>
      <c r="C916" s="5"/>
      <c r="D916" s="4"/>
      <c r="E916" s="4"/>
    </row>
    <row r="917" ht="15.75" customHeight="1">
      <c r="A917" s="4"/>
      <c r="B917" s="4"/>
      <c r="C917" s="5"/>
      <c r="D917" s="4"/>
      <c r="E917" s="4"/>
    </row>
    <row r="918" ht="15.75" customHeight="1">
      <c r="A918" s="4"/>
      <c r="B918" s="4"/>
      <c r="C918" s="5"/>
      <c r="D918" s="4"/>
      <c r="E918" s="4"/>
    </row>
    <row r="919" ht="15.75" customHeight="1">
      <c r="A919" s="4"/>
      <c r="B919" s="4"/>
      <c r="C919" s="5"/>
      <c r="D919" s="4"/>
      <c r="E919" s="4"/>
    </row>
    <row r="920" ht="15.75" customHeight="1">
      <c r="A920" s="4"/>
      <c r="B920" s="4"/>
      <c r="C920" s="5"/>
      <c r="D920" s="4"/>
      <c r="E920" s="4"/>
    </row>
    <row r="921" ht="15.75" customHeight="1">
      <c r="A921" s="4"/>
      <c r="B921" s="4"/>
      <c r="C921" s="5"/>
      <c r="D921" s="4"/>
      <c r="E921" s="4"/>
    </row>
    <row r="922" ht="15.75" customHeight="1">
      <c r="A922" s="4"/>
      <c r="B922" s="4"/>
      <c r="C922" s="5"/>
      <c r="D922" s="4"/>
      <c r="E922" s="4"/>
    </row>
    <row r="923" ht="15.75" customHeight="1">
      <c r="A923" s="4"/>
      <c r="B923" s="4"/>
      <c r="C923" s="5"/>
      <c r="D923" s="4"/>
      <c r="E923" s="4"/>
    </row>
    <row r="924" ht="15.75" customHeight="1">
      <c r="A924" s="4"/>
      <c r="B924" s="4"/>
      <c r="C924" s="5"/>
      <c r="D924" s="4"/>
      <c r="E924" s="4"/>
    </row>
    <row r="925" ht="15.75" customHeight="1">
      <c r="A925" s="4"/>
      <c r="B925" s="4"/>
      <c r="C925" s="5"/>
      <c r="D925" s="4"/>
      <c r="E925" s="4"/>
    </row>
    <row r="926" ht="15.75" customHeight="1">
      <c r="A926" s="4"/>
      <c r="B926" s="4"/>
      <c r="C926" s="5"/>
      <c r="D926" s="4"/>
      <c r="E926" s="4"/>
    </row>
    <row r="927" ht="15.75" customHeight="1">
      <c r="A927" s="4"/>
      <c r="B927" s="4"/>
      <c r="C927" s="5"/>
      <c r="D927" s="4"/>
      <c r="E927" s="4"/>
    </row>
    <row r="928" ht="15.75" customHeight="1">
      <c r="A928" s="4"/>
      <c r="B928" s="4"/>
      <c r="C928" s="5"/>
      <c r="D928" s="4"/>
      <c r="E928" s="4"/>
    </row>
    <row r="929" ht="15.75" customHeight="1">
      <c r="A929" s="4"/>
      <c r="B929" s="4"/>
      <c r="C929" s="5"/>
      <c r="D929" s="4"/>
      <c r="E929" s="4"/>
    </row>
    <row r="930" ht="15.75" customHeight="1">
      <c r="A930" s="4"/>
      <c r="B930" s="4"/>
      <c r="C930" s="5"/>
      <c r="D930" s="4"/>
      <c r="E930" s="4"/>
    </row>
    <row r="931" ht="15.75" customHeight="1">
      <c r="A931" s="4"/>
      <c r="B931" s="4"/>
      <c r="C931" s="5"/>
      <c r="D931" s="4"/>
      <c r="E931" s="4"/>
    </row>
    <row r="932" ht="15.75" customHeight="1">
      <c r="A932" s="4"/>
      <c r="B932" s="4"/>
      <c r="C932" s="5"/>
      <c r="D932" s="4"/>
      <c r="E932" s="4"/>
    </row>
    <row r="933" ht="15.75" customHeight="1">
      <c r="A933" s="4"/>
      <c r="B933" s="4"/>
      <c r="C933" s="5"/>
      <c r="D933" s="4"/>
      <c r="E933" s="4"/>
    </row>
    <row r="934" ht="15.75" customHeight="1">
      <c r="A934" s="4"/>
      <c r="B934" s="4"/>
      <c r="C934" s="5"/>
      <c r="D934" s="4"/>
      <c r="E934" s="4"/>
    </row>
    <row r="935" ht="15.75" customHeight="1">
      <c r="A935" s="4"/>
      <c r="B935" s="4"/>
      <c r="C935" s="5"/>
      <c r="D935" s="4"/>
      <c r="E935" s="4"/>
    </row>
    <row r="936" ht="15.75" customHeight="1">
      <c r="A936" s="4"/>
      <c r="B936" s="4"/>
      <c r="C936" s="5"/>
      <c r="D936" s="4"/>
      <c r="E936" s="4"/>
    </row>
    <row r="937" ht="15.75" customHeight="1">
      <c r="A937" s="4"/>
      <c r="B937" s="4"/>
      <c r="C937" s="5"/>
      <c r="D937" s="4"/>
      <c r="E937" s="4"/>
    </row>
    <row r="938" ht="15.75" customHeight="1">
      <c r="A938" s="4"/>
      <c r="B938" s="4"/>
      <c r="C938" s="5"/>
      <c r="D938" s="4"/>
      <c r="E938" s="4"/>
    </row>
    <row r="939" ht="15.75" customHeight="1">
      <c r="A939" s="4"/>
      <c r="B939" s="4"/>
      <c r="C939" s="5"/>
      <c r="D939" s="4"/>
      <c r="E939" s="4"/>
    </row>
    <row r="940" ht="15.75" customHeight="1">
      <c r="A940" s="4"/>
      <c r="B940" s="4"/>
      <c r="C940" s="5"/>
      <c r="D940" s="4"/>
      <c r="E940" s="4"/>
    </row>
    <row r="941" ht="15.75" customHeight="1">
      <c r="A941" s="4"/>
      <c r="B941" s="4"/>
      <c r="C941" s="5"/>
      <c r="D941" s="4"/>
      <c r="E941" s="4"/>
    </row>
    <row r="942" ht="15.75" customHeight="1">
      <c r="A942" s="4"/>
      <c r="B942" s="4"/>
      <c r="C942" s="5"/>
      <c r="D942" s="4"/>
      <c r="E942" s="4"/>
    </row>
    <row r="943" ht="15.75" customHeight="1">
      <c r="A943" s="4"/>
      <c r="B943" s="4"/>
      <c r="C943" s="5"/>
      <c r="D943" s="4"/>
      <c r="E943" s="4"/>
    </row>
    <row r="944" ht="15.75" customHeight="1">
      <c r="A944" s="4"/>
      <c r="B944" s="4"/>
      <c r="C944" s="5"/>
      <c r="D944" s="4"/>
      <c r="E944" s="4"/>
    </row>
    <row r="945" ht="15.75" customHeight="1">
      <c r="A945" s="4"/>
      <c r="B945" s="4"/>
      <c r="C945" s="5"/>
      <c r="D945" s="4"/>
      <c r="E945" s="4"/>
    </row>
    <row r="946" ht="15.75" customHeight="1">
      <c r="A946" s="4"/>
      <c r="B946" s="4"/>
      <c r="C946" s="5"/>
      <c r="D946" s="4"/>
      <c r="E946" s="4"/>
    </row>
    <row r="947" ht="15.75" customHeight="1">
      <c r="A947" s="4"/>
      <c r="B947" s="4"/>
      <c r="C947" s="5"/>
      <c r="D947" s="4"/>
      <c r="E947" s="4"/>
    </row>
    <row r="948" ht="15.75" customHeight="1">
      <c r="A948" s="4"/>
      <c r="B948" s="4"/>
      <c r="C948" s="5"/>
      <c r="D948" s="4"/>
      <c r="E948" s="4"/>
    </row>
    <row r="949" ht="15.75" customHeight="1">
      <c r="A949" s="4"/>
      <c r="B949" s="4"/>
      <c r="C949" s="5"/>
      <c r="D949" s="4"/>
      <c r="E949" s="4"/>
    </row>
    <row r="950" ht="15.75" customHeight="1">
      <c r="A950" s="4"/>
      <c r="B950" s="4"/>
      <c r="C950" s="5"/>
      <c r="D950" s="4"/>
      <c r="E950" s="4"/>
    </row>
    <row r="951" ht="15.75" customHeight="1">
      <c r="A951" s="4"/>
      <c r="B951" s="4"/>
      <c r="C951" s="5"/>
      <c r="D951" s="4"/>
      <c r="E951" s="4"/>
    </row>
    <row r="952" ht="15.75" customHeight="1">
      <c r="A952" s="4"/>
      <c r="B952" s="4"/>
      <c r="C952" s="5"/>
      <c r="D952" s="4"/>
      <c r="E952" s="4"/>
    </row>
    <row r="953" ht="15.75" customHeight="1">
      <c r="A953" s="4"/>
      <c r="B953" s="4"/>
      <c r="C953" s="5"/>
      <c r="D953" s="4"/>
      <c r="E953" s="4"/>
    </row>
    <row r="954" ht="15.75" customHeight="1">
      <c r="A954" s="4"/>
      <c r="B954" s="4"/>
      <c r="C954" s="5"/>
      <c r="D954" s="4"/>
      <c r="E954" s="4"/>
    </row>
    <row r="955" ht="15.75" customHeight="1">
      <c r="A955" s="4"/>
      <c r="B955" s="4"/>
      <c r="C955" s="5"/>
      <c r="D955" s="4"/>
      <c r="E955" s="4"/>
    </row>
    <row r="956" ht="15.75" customHeight="1">
      <c r="A956" s="4"/>
      <c r="B956" s="4"/>
      <c r="C956" s="5"/>
      <c r="D956" s="4"/>
      <c r="E956" s="4"/>
    </row>
    <row r="957" ht="15.75" customHeight="1">
      <c r="A957" s="4"/>
      <c r="B957" s="4"/>
      <c r="C957" s="5"/>
      <c r="D957" s="4"/>
      <c r="E957" s="4"/>
    </row>
    <row r="958" ht="15.75" customHeight="1">
      <c r="A958" s="4"/>
      <c r="B958" s="4"/>
      <c r="C958" s="5"/>
      <c r="D958" s="4"/>
      <c r="E958" s="4"/>
    </row>
    <row r="959" ht="15.75" customHeight="1">
      <c r="A959" s="4"/>
      <c r="B959" s="4"/>
      <c r="C959" s="5"/>
      <c r="D959" s="4"/>
      <c r="E959" s="4"/>
    </row>
    <row r="960" ht="15.75" customHeight="1">
      <c r="A960" s="4"/>
      <c r="B960" s="4"/>
      <c r="C960" s="5"/>
      <c r="D960" s="4"/>
      <c r="E960" s="4"/>
    </row>
    <row r="961" ht="15.75" customHeight="1">
      <c r="A961" s="4"/>
      <c r="B961" s="4"/>
      <c r="C961" s="5"/>
      <c r="D961" s="4"/>
      <c r="E961" s="4"/>
    </row>
    <row r="962" ht="15.75" customHeight="1">
      <c r="A962" s="4"/>
      <c r="B962" s="4"/>
      <c r="C962" s="5"/>
      <c r="D962" s="4"/>
      <c r="E962" s="4"/>
    </row>
    <row r="963" ht="15.75" customHeight="1">
      <c r="A963" s="4"/>
      <c r="B963" s="4"/>
      <c r="C963" s="5"/>
      <c r="D963" s="4"/>
      <c r="E963" s="4"/>
    </row>
    <row r="964" ht="15.75" customHeight="1">
      <c r="A964" s="4"/>
      <c r="B964" s="4"/>
      <c r="C964" s="5"/>
      <c r="D964" s="4"/>
      <c r="E964" s="4"/>
    </row>
    <row r="965" ht="15.75" customHeight="1">
      <c r="A965" s="4"/>
      <c r="B965" s="4"/>
      <c r="C965" s="5"/>
      <c r="D965" s="4"/>
      <c r="E965" s="4"/>
    </row>
    <row r="966" ht="15.75" customHeight="1">
      <c r="A966" s="4"/>
      <c r="B966" s="4"/>
      <c r="C966" s="5"/>
      <c r="D966" s="4"/>
      <c r="E966" s="4"/>
    </row>
    <row r="967" ht="15.75" customHeight="1">
      <c r="A967" s="4"/>
      <c r="B967" s="4"/>
      <c r="C967" s="5"/>
      <c r="D967" s="4"/>
      <c r="E967" s="4"/>
    </row>
    <row r="968" ht="15.75" customHeight="1">
      <c r="A968" s="4"/>
      <c r="B968" s="4"/>
      <c r="C968" s="5"/>
      <c r="D968" s="4"/>
      <c r="E968" s="4"/>
    </row>
    <row r="969" ht="15.75" customHeight="1">
      <c r="A969" s="4"/>
      <c r="B969" s="4"/>
      <c r="C969" s="5"/>
      <c r="D969" s="4"/>
      <c r="E969" s="4"/>
    </row>
    <row r="970" ht="15.75" customHeight="1">
      <c r="A970" s="4"/>
      <c r="B970" s="4"/>
      <c r="C970" s="5"/>
      <c r="D970" s="4"/>
      <c r="E970" s="4"/>
    </row>
    <row r="971" ht="15.75" customHeight="1">
      <c r="A971" s="4"/>
      <c r="B971" s="4"/>
      <c r="C971" s="5"/>
      <c r="D971" s="4"/>
      <c r="E971" s="4"/>
    </row>
    <row r="972" ht="15.75" customHeight="1">
      <c r="A972" s="4"/>
      <c r="B972" s="4"/>
      <c r="C972" s="5"/>
      <c r="D972" s="4"/>
      <c r="E972" s="4"/>
    </row>
    <row r="973" ht="15.75" customHeight="1">
      <c r="A973" s="4"/>
      <c r="B973" s="4"/>
      <c r="C973" s="5"/>
      <c r="D973" s="4"/>
      <c r="E973" s="4"/>
    </row>
    <row r="974" ht="15.75" customHeight="1">
      <c r="A974" s="4"/>
      <c r="B974" s="4"/>
      <c r="C974" s="5"/>
      <c r="D974" s="4"/>
      <c r="E974" s="4"/>
    </row>
    <row r="975" ht="15.75" customHeight="1">
      <c r="A975" s="4"/>
      <c r="B975" s="4"/>
      <c r="C975" s="5"/>
      <c r="D975" s="4"/>
      <c r="E975" s="4"/>
    </row>
    <row r="976" ht="15.75" customHeight="1">
      <c r="A976" s="4"/>
      <c r="B976" s="4"/>
      <c r="C976" s="5"/>
      <c r="D976" s="4"/>
      <c r="E976" s="4"/>
    </row>
    <row r="977" ht="15.75" customHeight="1">
      <c r="A977" s="4"/>
      <c r="B977" s="4"/>
      <c r="C977" s="5"/>
      <c r="D977" s="4"/>
      <c r="E977" s="4"/>
    </row>
    <row r="978" ht="15.75" customHeight="1">
      <c r="A978" s="4"/>
      <c r="B978" s="4"/>
      <c r="C978" s="5"/>
      <c r="D978" s="4"/>
      <c r="E978" s="4"/>
    </row>
    <row r="979" ht="15.75" customHeight="1">
      <c r="A979" s="4"/>
      <c r="B979" s="4"/>
      <c r="C979" s="5"/>
      <c r="D979" s="4"/>
      <c r="E979" s="4"/>
    </row>
    <row r="980" ht="15.75" customHeight="1">
      <c r="A980" s="4"/>
      <c r="B980" s="4"/>
      <c r="C980" s="5"/>
      <c r="D980" s="4"/>
      <c r="E980" s="4"/>
    </row>
    <row r="981" ht="15.75" customHeight="1">
      <c r="A981" s="4"/>
      <c r="B981" s="4"/>
      <c r="C981" s="5"/>
      <c r="D981" s="4"/>
      <c r="E981" s="4"/>
    </row>
    <row r="982" ht="15.75" customHeight="1">
      <c r="A982" s="4"/>
      <c r="B982" s="4"/>
      <c r="C982" s="5"/>
      <c r="D982" s="4"/>
      <c r="E982" s="4"/>
    </row>
    <row r="983" ht="15.75" customHeight="1">
      <c r="A983" s="4"/>
      <c r="B983" s="4"/>
      <c r="C983" s="5"/>
      <c r="D983" s="4"/>
      <c r="E983" s="4"/>
    </row>
    <row r="984" ht="15.75" customHeight="1">
      <c r="A984" s="4"/>
      <c r="B984" s="4"/>
      <c r="C984" s="5"/>
      <c r="D984" s="4"/>
      <c r="E984" s="4"/>
    </row>
    <row r="985" ht="15.75" customHeight="1">
      <c r="A985" s="4"/>
      <c r="B985" s="4"/>
      <c r="C985" s="5"/>
      <c r="D985" s="4"/>
      <c r="E985" s="4"/>
    </row>
    <row r="986" ht="15.75" customHeight="1">
      <c r="A986" s="4"/>
      <c r="B986" s="4"/>
      <c r="C986" s="5"/>
      <c r="D986" s="4"/>
      <c r="E986" s="4"/>
    </row>
    <row r="987" ht="15.75" customHeight="1">
      <c r="A987" s="4"/>
      <c r="B987" s="4"/>
      <c r="C987" s="5"/>
      <c r="D987" s="4"/>
      <c r="E987" s="4"/>
    </row>
    <row r="988" ht="15.75" customHeight="1">
      <c r="A988" s="4"/>
      <c r="B988" s="4"/>
      <c r="C988" s="5"/>
      <c r="D988" s="4"/>
      <c r="E988" s="4"/>
    </row>
    <row r="989" ht="15.75" customHeight="1">
      <c r="A989" s="4"/>
      <c r="B989" s="4"/>
      <c r="C989" s="5"/>
      <c r="D989" s="4"/>
      <c r="E989" s="4"/>
    </row>
    <row r="990" ht="15.75" customHeight="1">
      <c r="A990" s="4"/>
      <c r="B990" s="4"/>
      <c r="C990" s="5"/>
      <c r="D990" s="4"/>
      <c r="E990" s="4"/>
    </row>
    <row r="991" ht="15.75" customHeight="1">
      <c r="A991" s="4"/>
      <c r="B991" s="4"/>
      <c r="C991" s="5"/>
      <c r="D991" s="4"/>
      <c r="E991" s="4"/>
    </row>
    <row r="992" ht="15.75" customHeight="1">
      <c r="A992" s="4"/>
      <c r="B992" s="4"/>
      <c r="C992" s="5"/>
      <c r="D992" s="4"/>
      <c r="E992" s="4"/>
    </row>
    <row r="993" ht="15.75" customHeight="1">
      <c r="A993" s="4"/>
      <c r="B993" s="4"/>
      <c r="C993" s="5"/>
      <c r="D993" s="4"/>
      <c r="E993" s="4"/>
    </row>
    <row r="994" ht="15.75" customHeight="1">
      <c r="A994" s="4"/>
      <c r="B994" s="4"/>
      <c r="C994" s="5"/>
      <c r="D994" s="4"/>
      <c r="E994" s="4"/>
    </row>
    <row r="995" ht="15.75" customHeight="1">
      <c r="A995" s="4"/>
      <c r="B995" s="4"/>
      <c r="C995" s="5"/>
      <c r="D995" s="4"/>
      <c r="E995" s="4"/>
    </row>
    <row r="996" ht="15.75" customHeight="1">
      <c r="A996" s="4"/>
      <c r="B996" s="4"/>
      <c r="C996" s="5"/>
      <c r="D996" s="4"/>
      <c r="E996" s="4"/>
    </row>
    <row r="997" ht="15.75" customHeight="1">
      <c r="A997" s="4"/>
      <c r="B997" s="4"/>
      <c r="C997" s="5"/>
      <c r="D997" s="4"/>
      <c r="E997" s="4"/>
    </row>
    <row r="998" ht="15.75" customHeight="1">
      <c r="A998" s="4"/>
      <c r="B998" s="4"/>
      <c r="C998" s="5"/>
      <c r="D998" s="4"/>
      <c r="E998" s="4"/>
    </row>
  </sheetData>
  <autoFilter ref="$A$1:$D$5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43"/>
    <col customWidth="1" min="2" max="2" width="14.71"/>
    <col customWidth="1" min="3" max="3" width="23.71"/>
    <col customWidth="1" min="4" max="4" width="23.57"/>
    <col customWidth="1" min="5" max="5" width="25.57"/>
    <col customWidth="1" min="6" max="6" width="25.29"/>
    <col customWidth="1" min="7" max="7" width="31.71"/>
    <col customWidth="1" min="8" max="8" width="35.43"/>
    <col customWidth="1" min="9" max="9" width="16.71"/>
    <col customWidth="1" min="10" max="10" width="23.57"/>
  </cols>
  <sheetData>
    <row r="1">
      <c r="A1" s="7" t="s">
        <v>0</v>
      </c>
      <c r="B1" s="7" t="s">
        <v>35</v>
      </c>
      <c r="C1" s="8" t="s">
        <v>36</v>
      </c>
      <c r="D1" s="8" t="s">
        <v>37</v>
      </c>
      <c r="E1" s="9" t="s">
        <v>38</v>
      </c>
      <c r="F1" s="10" t="s">
        <v>39</v>
      </c>
    </row>
    <row r="2">
      <c r="A2" s="6" t="s">
        <v>40</v>
      </c>
      <c r="B2" s="11" t="s">
        <v>41</v>
      </c>
      <c r="C2" s="12">
        <v>5000.0</v>
      </c>
      <c r="D2" s="12">
        <v>0.0</v>
      </c>
      <c r="E2" s="13">
        <f t="shared" ref="E2:E20" si="1">D2/C2</f>
        <v>0</v>
      </c>
      <c r="F2" s="14">
        <v>46048.0</v>
      </c>
      <c r="J2" s="15" t="s">
        <v>42</v>
      </c>
      <c r="K2" s="15" t="s">
        <v>43</v>
      </c>
      <c r="L2" s="15" t="s">
        <v>44</v>
      </c>
      <c r="M2" s="15" t="s">
        <v>45</v>
      </c>
      <c r="Q2" s="15" t="s">
        <v>46</v>
      </c>
    </row>
    <row r="3">
      <c r="A3" s="11" t="s">
        <v>47</v>
      </c>
      <c r="B3" s="11" t="s">
        <v>41</v>
      </c>
      <c r="C3" s="12">
        <v>320.0</v>
      </c>
      <c r="D3" s="12">
        <v>398.0</v>
      </c>
      <c r="E3" s="13">
        <f t="shared" si="1"/>
        <v>1.24375</v>
      </c>
      <c r="F3" s="14">
        <v>45663.0</v>
      </c>
      <c r="J3" s="15" t="s">
        <v>48</v>
      </c>
      <c r="K3" s="16" t="s">
        <v>49</v>
      </c>
      <c r="L3" s="15">
        <v>480.0</v>
      </c>
      <c r="M3" s="15">
        <v>458.0</v>
      </c>
      <c r="Q3" s="16" t="s">
        <v>50</v>
      </c>
    </row>
    <row r="4">
      <c r="A4" s="11" t="s">
        <v>51</v>
      </c>
      <c r="B4" s="11" t="s">
        <v>41</v>
      </c>
      <c r="C4" s="12">
        <v>100.0</v>
      </c>
      <c r="D4" s="12">
        <v>134.0</v>
      </c>
      <c r="E4" s="13">
        <f t="shared" si="1"/>
        <v>1.34</v>
      </c>
      <c r="F4" s="14">
        <v>45663.0</v>
      </c>
      <c r="J4" s="15" t="s">
        <v>52</v>
      </c>
      <c r="K4" s="16" t="s">
        <v>53</v>
      </c>
      <c r="L4" s="15">
        <v>380.0</v>
      </c>
      <c r="M4" s="15">
        <v>369.0</v>
      </c>
      <c r="Q4" s="16" t="s">
        <v>54</v>
      </c>
    </row>
    <row r="5">
      <c r="A5" s="4" t="s">
        <v>8</v>
      </c>
      <c r="B5" s="11" t="s">
        <v>41</v>
      </c>
      <c r="C5" s="12">
        <v>365.0</v>
      </c>
      <c r="D5" s="12">
        <v>609.0</v>
      </c>
      <c r="E5" s="13">
        <f t="shared" si="1"/>
        <v>1.668493151</v>
      </c>
      <c r="F5" s="14">
        <v>45663.0</v>
      </c>
      <c r="J5" s="15" t="s">
        <v>55</v>
      </c>
      <c r="K5" s="16" t="s">
        <v>56</v>
      </c>
      <c r="N5" s="16" t="s">
        <v>57</v>
      </c>
      <c r="Q5" s="16" t="s">
        <v>58</v>
      </c>
    </row>
    <row r="6">
      <c r="A6" s="6" t="s">
        <v>9</v>
      </c>
      <c r="B6" s="11" t="s">
        <v>41</v>
      </c>
      <c r="C6" s="17">
        <v>1000.0</v>
      </c>
      <c r="D6" s="17">
        <v>339.0</v>
      </c>
      <c r="E6" s="13">
        <f t="shared" si="1"/>
        <v>0.339</v>
      </c>
      <c r="F6" s="14">
        <v>45663.0</v>
      </c>
      <c r="G6" s="18" t="s">
        <v>59</v>
      </c>
      <c r="H6" s="19" t="s">
        <v>60</v>
      </c>
      <c r="J6" s="15" t="s">
        <v>55</v>
      </c>
      <c r="K6" s="16" t="s">
        <v>61</v>
      </c>
      <c r="L6" s="15">
        <v>502.0</v>
      </c>
      <c r="M6" s="15">
        <v>441.0</v>
      </c>
      <c r="N6" s="15" t="s">
        <v>62</v>
      </c>
      <c r="Q6" s="16" t="s">
        <v>50</v>
      </c>
    </row>
    <row r="7">
      <c r="A7" s="6" t="s">
        <v>10</v>
      </c>
      <c r="B7" s="11" t="s">
        <v>41</v>
      </c>
      <c r="C7" s="17">
        <v>1000.0</v>
      </c>
      <c r="D7" s="17">
        <v>389.0</v>
      </c>
      <c r="E7" s="13">
        <f t="shared" si="1"/>
        <v>0.389</v>
      </c>
      <c r="F7" s="14">
        <v>45663.0</v>
      </c>
      <c r="G7" s="18" t="s">
        <v>59</v>
      </c>
      <c r="H7" s="19" t="s">
        <v>60</v>
      </c>
      <c r="J7" s="15" t="s">
        <v>55</v>
      </c>
      <c r="K7" s="16" t="s">
        <v>63</v>
      </c>
      <c r="Q7" s="16" t="s">
        <v>64</v>
      </c>
    </row>
    <row r="8">
      <c r="A8" s="4" t="s">
        <v>11</v>
      </c>
      <c r="B8" s="11" t="s">
        <v>41</v>
      </c>
      <c r="C8" s="17">
        <v>1000.0</v>
      </c>
      <c r="D8" s="17">
        <v>259.0</v>
      </c>
      <c r="E8" s="13">
        <f t="shared" si="1"/>
        <v>0.259</v>
      </c>
      <c r="F8" s="14">
        <v>45663.0</v>
      </c>
      <c r="J8" s="15" t="s">
        <v>65</v>
      </c>
      <c r="K8" s="16" t="s">
        <v>66</v>
      </c>
      <c r="L8" s="15">
        <v>459.0</v>
      </c>
      <c r="M8" s="15">
        <v>421.0</v>
      </c>
      <c r="N8" s="15" t="s">
        <v>67</v>
      </c>
      <c r="Q8" s="16" t="s">
        <v>68</v>
      </c>
    </row>
    <row r="9">
      <c r="A9" s="6" t="s">
        <v>69</v>
      </c>
      <c r="B9" s="11" t="s">
        <v>41</v>
      </c>
      <c r="C9" s="17">
        <v>1000.0</v>
      </c>
      <c r="D9" s="17">
        <v>57.0</v>
      </c>
      <c r="E9" s="13">
        <f t="shared" si="1"/>
        <v>0.057</v>
      </c>
      <c r="F9" s="14">
        <v>46051.0</v>
      </c>
      <c r="J9" s="15" t="s">
        <v>55</v>
      </c>
      <c r="K9" s="16" t="s">
        <v>70</v>
      </c>
      <c r="Q9" s="16" t="s">
        <v>71</v>
      </c>
    </row>
    <row r="10">
      <c r="A10" s="4" t="s">
        <v>13</v>
      </c>
      <c r="B10" s="11" t="s">
        <v>41</v>
      </c>
      <c r="C10" s="17">
        <v>5000.0</v>
      </c>
      <c r="D10" s="17">
        <v>609.0</v>
      </c>
      <c r="E10" s="13">
        <f t="shared" si="1"/>
        <v>0.1218</v>
      </c>
      <c r="F10" s="14">
        <v>46101.0</v>
      </c>
      <c r="G10" s="18" t="s">
        <v>72</v>
      </c>
      <c r="H10" s="19" t="s">
        <v>73</v>
      </c>
      <c r="J10" s="15" t="s">
        <v>55</v>
      </c>
      <c r="K10" s="16" t="s">
        <v>74</v>
      </c>
      <c r="Q10" s="16" t="s">
        <v>75</v>
      </c>
    </row>
    <row r="11">
      <c r="A11" s="6" t="s">
        <v>76</v>
      </c>
      <c r="B11" s="11" t="s">
        <v>41</v>
      </c>
      <c r="C11" s="17">
        <v>250.0</v>
      </c>
      <c r="D11" s="17">
        <v>58.0</v>
      </c>
      <c r="E11" s="13">
        <f t="shared" si="1"/>
        <v>0.232</v>
      </c>
      <c r="F11" s="14">
        <v>45663.0</v>
      </c>
      <c r="J11" s="15" t="s">
        <v>55</v>
      </c>
      <c r="K11" s="16" t="s">
        <v>77</v>
      </c>
      <c r="Q11" s="16" t="s">
        <v>78</v>
      </c>
    </row>
    <row r="12">
      <c r="A12" s="4" t="s">
        <v>15</v>
      </c>
      <c r="B12" s="11" t="s">
        <v>41</v>
      </c>
      <c r="C12" s="17">
        <v>1000.0</v>
      </c>
      <c r="D12" s="17">
        <v>69.0</v>
      </c>
      <c r="E12" s="13">
        <f t="shared" si="1"/>
        <v>0.069</v>
      </c>
      <c r="F12" s="14">
        <v>45663.0</v>
      </c>
      <c r="J12" s="15" t="s">
        <v>55</v>
      </c>
      <c r="K12" s="16" t="s">
        <v>79</v>
      </c>
    </row>
    <row r="13">
      <c r="A13" s="4" t="s">
        <v>16</v>
      </c>
      <c r="B13" s="11" t="s">
        <v>41</v>
      </c>
      <c r="C13" s="17">
        <v>450.0</v>
      </c>
      <c r="D13" s="17">
        <v>449.0</v>
      </c>
      <c r="E13" s="13">
        <f t="shared" si="1"/>
        <v>0.9977777778</v>
      </c>
      <c r="F13" s="14">
        <v>46101.0</v>
      </c>
      <c r="J13" s="15" t="s">
        <v>80</v>
      </c>
      <c r="K13" s="16" t="s">
        <v>81</v>
      </c>
      <c r="L13" s="20">
        <v>597.0</v>
      </c>
      <c r="M13" s="21">
        <v>583.0</v>
      </c>
    </row>
    <row r="14">
      <c r="A14" s="4" t="s">
        <v>17</v>
      </c>
      <c r="B14" s="11" t="s">
        <v>41</v>
      </c>
      <c r="C14" s="17">
        <v>1000.0</v>
      </c>
      <c r="D14" s="17">
        <v>42.0</v>
      </c>
      <c r="E14" s="13">
        <f t="shared" si="1"/>
        <v>0.042</v>
      </c>
      <c r="F14" s="14">
        <v>45663.0</v>
      </c>
      <c r="J14" s="15" t="s">
        <v>55</v>
      </c>
      <c r="K14" s="16" t="s">
        <v>82</v>
      </c>
    </row>
    <row r="15">
      <c r="A15" s="4" t="s">
        <v>18</v>
      </c>
      <c r="B15" s="11" t="s">
        <v>41</v>
      </c>
      <c r="C15" s="17">
        <v>60.0</v>
      </c>
      <c r="D15" s="17">
        <v>113.0</v>
      </c>
      <c r="E15" s="13">
        <f t="shared" si="1"/>
        <v>1.883333333</v>
      </c>
      <c r="F15" s="14">
        <v>45663.0</v>
      </c>
      <c r="K15" s="16" t="s">
        <v>83</v>
      </c>
    </row>
    <row r="16">
      <c r="A16" s="6" t="s">
        <v>19</v>
      </c>
      <c r="B16" s="11" t="s">
        <v>84</v>
      </c>
      <c r="C16" s="17">
        <v>500.0</v>
      </c>
      <c r="D16" s="17">
        <v>414.0</v>
      </c>
      <c r="E16" s="13">
        <f t="shared" si="1"/>
        <v>0.828</v>
      </c>
      <c r="F16" s="14">
        <v>45663.0</v>
      </c>
      <c r="J16" s="15" t="s">
        <v>55</v>
      </c>
      <c r="K16" s="16" t="s">
        <v>85</v>
      </c>
      <c r="L16" s="15">
        <v>300.0</v>
      </c>
      <c r="M16" s="15">
        <v>300.0</v>
      </c>
      <c r="N16" s="15" t="s">
        <v>86</v>
      </c>
    </row>
    <row r="17">
      <c r="A17" s="4" t="s">
        <v>20</v>
      </c>
      <c r="B17" s="11" t="s">
        <v>41</v>
      </c>
      <c r="C17" s="17">
        <v>490.0</v>
      </c>
      <c r="D17" s="17">
        <v>596.0</v>
      </c>
      <c r="E17" s="13">
        <f t="shared" si="1"/>
        <v>1.216326531</v>
      </c>
      <c r="F17" s="14">
        <v>45663.0</v>
      </c>
      <c r="J17" s="15" t="s">
        <v>55</v>
      </c>
      <c r="K17" s="16" t="s">
        <v>87</v>
      </c>
      <c r="L17" s="15">
        <v>430.0</v>
      </c>
      <c r="M17" s="15">
        <v>410.0</v>
      </c>
      <c r="N17" s="15" t="s">
        <v>88</v>
      </c>
    </row>
    <row r="18">
      <c r="A18" s="4" t="s">
        <v>21</v>
      </c>
      <c r="B18" s="11" t="s">
        <v>89</v>
      </c>
      <c r="C18" s="17">
        <v>5000.0</v>
      </c>
      <c r="D18" s="17">
        <v>515.0</v>
      </c>
      <c r="E18" s="13">
        <f t="shared" si="1"/>
        <v>0.103</v>
      </c>
      <c r="F18" s="14">
        <v>45663.0</v>
      </c>
      <c r="G18" s="22" t="s">
        <v>90</v>
      </c>
      <c r="H18" s="22" t="s">
        <v>91</v>
      </c>
      <c r="J18" s="15" t="s">
        <v>55</v>
      </c>
      <c r="K18" s="16" t="s">
        <v>92</v>
      </c>
      <c r="N18" s="15" t="s">
        <v>93</v>
      </c>
    </row>
    <row r="19">
      <c r="A19" s="4" t="s">
        <v>22</v>
      </c>
      <c r="B19" s="11" t="s">
        <v>41</v>
      </c>
      <c r="C19" s="17">
        <v>1000.0</v>
      </c>
      <c r="D19" s="17">
        <v>216.0</v>
      </c>
      <c r="E19" s="13">
        <f t="shared" si="1"/>
        <v>0.216</v>
      </c>
      <c r="F19" s="14">
        <v>45663.0</v>
      </c>
      <c r="J19" s="15" t="s">
        <v>55</v>
      </c>
      <c r="K19" s="16" t="s">
        <v>94</v>
      </c>
      <c r="N19" s="15" t="s">
        <v>95</v>
      </c>
      <c r="O19" s="15" t="s">
        <v>96</v>
      </c>
    </row>
    <row r="20">
      <c r="A20" s="4" t="s">
        <v>23</v>
      </c>
      <c r="B20" s="11" t="s">
        <v>41</v>
      </c>
      <c r="C20" s="17">
        <v>1000.0</v>
      </c>
      <c r="D20" s="17">
        <v>1057.0</v>
      </c>
      <c r="E20" s="13">
        <f t="shared" si="1"/>
        <v>1.057</v>
      </c>
      <c r="F20" s="14">
        <v>45663.0</v>
      </c>
      <c r="J20" s="15" t="s">
        <v>55</v>
      </c>
      <c r="K20" s="16" t="s">
        <v>97</v>
      </c>
    </row>
    <row r="21">
      <c r="A21" s="6" t="s">
        <v>25</v>
      </c>
      <c r="B21" s="23" t="s">
        <v>98</v>
      </c>
      <c r="C21" s="17">
        <v>1.0</v>
      </c>
      <c r="D21" s="17">
        <v>9.5</v>
      </c>
      <c r="E21" s="13">
        <v>14.5</v>
      </c>
      <c r="F21" s="14">
        <v>45672.0</v>
      </c>
      <c r="G21" s="15" t="s">
        <v>99</v>
      </c>
      <c r="H21" s="15" t="s">
        <v>100</v>
      </c>
      <c r="J21" s="15" t="s">
        <v>55</v>
      </c>
      <c r="K21" s="16" t="s">
        <v>101</v>
      </c>
    </row>
    <row r="22">
      <c r="A22" s="6" t="s">
        <v>102</v>
      </c>
      <c r="B22" s="11" t="s">
        <v>41</v>
      </c>
      <c r="C22" s="17">
        <v>90.0</v>
      </c>
      <c r="D22" s="17">
        <v>280.0</v>
      </c>
      <c r="E22" s="13">
        <f t="shared" ref="E22:E61" si="2">D22/C22</f>
        <v>3.111111111</v>
      </c>
      <c r="F22" s="14">
        <v>45663.0</v>
      </c>
      <c r="J22" s="15" t="s">
        <v>55</v>
      </c>
      <c r="K22" s="16" t="s">
        <v>103</v>
      </c>
    </row>
    <row r="23">
      <c r="A23" s="6" t="s">
        <v>104</v>
      </c>
      <c r="B23" s="11" t="s">
        <v>41</v>
      </c>
      <c r="C23" s="17">
        <v>1000.0</v>
      </c>
      <c r="D23" s="17">
        <v>350.0</v>
      </c>
      <c r="E23" s="13">
        <f t="shared" si="2"/>
        <v>0.35</v>
      </c>
      <c r="F23" s="14">
        <v>46101.0</v>
      </c>
      <c r="G23" s="18" t="s">
        <v>105</v>
      </c>
    </row>
    <row r="24">
      <c r="A24" s="6" t="s">
        <v>24</v>
      </c>
      <c r="B24" s="11" t="s">
        <v>41</v>
      </c>
      <c r="C24" s="17">
        <v>1500.0</v>
      </c>
      <c r="D24" s="17">
        <v>547.0</v>
      </c>
      <c r="E24" s="13">
        <f t="shared" si="2"/>
        <v>0.3646666667</v>
      </c>
      <c r="F24" s="14">
        <v>46101.0</v>
      </c>
    </row>
    <row r="25">
      <c r="A25" s="6" t="s">
        <v>106</v>
      </c>
      <c r="B25" s="11" t="s">
        <v>107</v>
      </c>
      <c r="C25" s="17">
        <v>1000.0</v>
      </c>
      <c r="D25" s="17">
        <v>700.0</v>
      </c>
      <c r="E25" s="13">
        <f t="shared" si="2"/>
        <v>0.7</v>
      </c>
      <c r="F25" s="14">
        <v>45663.0</v>
      </c>
    </row>
    <row r="26">
      <c r="A26" s="6" t="s">
        <v>108</v>
      </c>
      <c r="B26" s="11" t="s">
        <v>41</v>
      </c>
      <c r="C26" s="17">
        <v>800.0</v>
      </c>
      <c r="D26" s="17">
        <v>223.0</v>
      </c>
      <c r="E26" s="13">
        <f t="shared" si="2"/>
        <v>0.27875</v>
      </c>
      <c r="F26" s="14">
        <v>45663.0</v>
      </c>
    </row>
    <row r="27">
      <c r="A27" s="6" t="s">
        <v>109</v>
      </c>
      <c r="B27" s="11" t="s">
        <v>41</v>
      </c>
      <c r="C27" s="15">
        <v>2000.0</v>
      </c>
      <c r="D27" s="17">
        <v>76.0</v>
      </c>
      <c r="E27" s="13">
        <f t="shared" si="2"/>
        <v>0.038</v>
      </c>
      <c r="F27" s="14">
        <v>45663.0</v>
      </c>
    </row>
    <row r="28">
      <c r="A28" s="6" t="s">
        <v>27</v>
      </c>
      <c r="B28" s="11" t="s">
        <v>41</v>
      </c>
      <c r="C28" s="17">
        <v>800.0</v>
      </c>
      <c r="D28" s="6">
        <v>69.0</v>
      </c>
      <c r="E28" s="13">
        <f t="shared" si="2"/>
        <v>0.08625</v>
      </c>
      <c r="F28" s="14">
        <v>46050.0</v>
      </c>
    </row>
    <row r="29">
      <c r="A29" s="6" t="s">
        <v>110</v>
      </c>
      <c r="B29" s="11" t="s">
        <v>41</v>
      </c>
      <c r="C29" s="17">
        <v>200.0</v>
      </c>
      <c r="D29" s="17">
        <v>460.0</v>
      </c>
      <c r="E29" s="13">
        <f t="shared" si="2"/>
        <v>2.3</v>
      </c>
      <c r="F29" s="14">
        <v>45663.0</v>
      </c>
    </row>
    <row r="30">
      <c r="A30" s="6" t="s">
        <v>33</v>
      </c>
      <c r="B30" s="15" t="s">
        <v>4</v>
      </c>
      <c r="C30" s="6">
        <v>550.0</v>
      </c>
      <c r="D30" s="17">
        <v>755.0</v>
      </c>
      <c r="E30" s="13">
        <f t="shared" si="2"/>
        <v>1.372727273</v>
      </c>
      <c r="F30" s="24"/>
    </row>
    <row r="31">
      <c r="A31" s="6" t="s">
        <v>111</v>
      </c>
      <c r="B31" s="11" t="s">
        <v>41</v>
      </c>
      <c r="C31" s="17">
        <v>150.0</v>
      </c>
      <c r="D31" s="17">
        <v>130.0</v>
      </c>
      <c r="E31" s="13">
        <f t="shared" si="2"/>
        <v>0.8666666667</v>
      </c>
      <c r="F31" s="14">
        <v>45663.0</v>
      </c>
      <c r="G31" s="15" t="s">
        <v>112</v>
      </c>
      <c r="K31" s="15" t="s">
        <v>113</v>
      </c>
    </row>
    <row r="32">
      <c r="A32" s="6" t="s">
        <v>28</v>
      </c>
      <c r="B32" s="11" t="s">
        <v>2</v>
      </c>
      <c r="C32" s="17">
        <v>2000.0</v>
      </c>
      <c r="D32" s="17">
        <v>175.0</v>
      </c>
      <c r="E32" s="13">
        <f t="shared" si="2"/>
        <v>0.0875</v>
      </c>
      <c r="F32" s="24"/>
      <c r="K32" s="16" t="s">
        <v>114</v>
      </c>
    </row>
    <row r="33">
      <c r="A33" s="6" t="s">
        <v>29</v>
      </c>
      <c r="B33" s="15" t="s">
        <v>4</v>
      </c>
      <c r="C33" s="17">
        <v>380.0</v>
      </c>
      <c r="D33" s="17">
        <v>395.0</v>
      </c>
      <c r="E33" s="13">
        <f t="shared" si="2"/>
        <v>1.039473684</v>
      </c>
      <c r="F33" s="24"/>
      <c r="K33" s="16" t="s">
        <v>115</v>
      </c>
    </row>
    <row r="34">
      <c r="A34" s="6" t="s">
        <v>30</v>
      </c>
      <c r="B34" s="11" t="s">
        <v>41</v>
      </c>
      <c r="C34" s="17">
        <v>800.0</v>
      </c>
      <c r="D34" s="17">
        <v>340.0</v>
      </c>
      <c r="E34" s="13">
        <f t="shared" si="2"/>
        <v>0.425</v>
      </c>
      <c r="F34" s="14">
        <v>45663.0</v>
      </c>
    </row>
    <row r="35">
      <c r="A35" s="6" t="s">
        <v>31</v>
      </c>
      <c r="B35" s="11" t="s">
        <v>41</v>
      </c>
      <c r="C35" s="17">
        <v>1000.0</v>
      </c>
      <c r="D35" s="17">
        <v>60.0</v>
      </c>
      <c r="E35" s="13">
        <f t="shared" si="2"/>
        <v>0.06</v>
      </c>
      <c r="F35" s="14">
        <v>45663.0</v>
      </c>
    </row>
    <row r="36">
      <c r="A36" s="25" t="s">
        <v>116</v>
      </c>
      <c r="B36" s="11" t="s">
        <v>41</v>
      </c>
      <c r="C36" s="17">
        <v>1000.0</v>
      </c>
      <c r="D36" s="17">
        <v>289.0</v>
      </c>
      <c r="E36" s="13">
        <f t="shared" si="2"/>
        <v>0.289</v>
      </c>
      <c r="F36" s="14">
        <v>45663.0</v>
      </c>
      <c r="G36" s="18" t="s">
        <v>117</v>
      </c>
      <c r="H36" s="15" t="s">
        <v>118</v>
      </c>
    </row>
    <row r="37">
      <c r="A37" s="6" t="s">
        <v>119</v>
      </c>
      <c r="B37" s="11" t="s">
        <v>41</v>
      </c>
      <c r="C37" s="17">
        <v>1000.0</v>
      </c>
      <c r="D37" s="17">
        <v>670.0</v>
      </c>
      <c r="E37" s="13">
        <f t="shared" si="2"/>
        <v>0.67</v>
      </c>
      <c r="F37" s="14">
        <v>45663.0</v>
      </c>
    </row>
    <row r="38">
      <c r="A38" s="25" t="s">
        <v>120</v>
      </c>
      <c r="B38" s="11" t="s">
        <v>41</v>
      </c>
      <c r="C38" s="17">
        <v>440.0</v>
      </c>
      <c r="D38" s="17">
        <v>590.0</v>
      </c>
      <c r="E38" s="13">
        <f t="shared" si="2"/>
        <v>1.340909091</v>
      </c>
      <c r="F38" s="14">
        <v>45663.0</v>
      </c>
    </row>
    <row r="39">
      <c r="A39" s="6" t="s">
        <v>121</v>
      </c>
      <c r="B39" s="11" t="s">
        <v>41</v>
      </c>
      <c r="C39" s="17">
        <v>1000.0</v>
      </c>
      <c r="D39" s="17">
        <v>284.0</v>
      </c>
      <c r="E39" s="13">
        <f t="shared" si="2"/>
        <v>0.284</v>
      </c>
      <c r="F39" s="14">
        <v>45663.0</v>
      </c>
    </row>
    <row r="40">
      <c r="A40" s="26" t="s">
        <v>122</v>
      </c>
      <c r="B40" s="11" t="s">
        <v>41</v>
      </c>
      <c r="C40" s="17">
        <v>2000.0</v>
      </c>
      <c r="D40" s="17">
        <v>1679.0</v>
      </c>
      <c r="E40" s="13">
        <f t="shared" si="2"/>
        <v>0.8395</v>
      </c>
      <c r="F40" s="14">
        <v>46048.0</v>
      </c>
    </row>
    <row r="41">
      <c r="A41" s="6" t="s">
        <v>123</v>
      </c>
      <c r="B41" s="6"/>
      <c r="C41" s="17">
        <v>500.0</v>
      </c>
      <c r="D41" s="17">
        <v>575.0</v>
      </c>
      <c r="E41" s="13">
        <f t="shared" si="2"/>
        <v>1.15</v>
      </c>
      <c r="F41" s="14">
        <v>45663.0</v>
      </c>
    </row>
    <row r="42">
      <c r="A42" s="27" t="s">
        <v>124</v>
      </c>
      <c r="B42" s="6" t="s">
        <v>125</v>
      </c>
      <c r="C42" s="17">
        <v>300.0</v>
      </c>
      <c r="D42" s="17">
        <v>204.0</v>
      </c>
      <c r="E42" s="13">
        <f t="shared" si="2"/>
        <v>0.68</v>
      </c>
      <c r="F42" s="14">
        <v>45663.0</v>
      </c>
    </row>
    <row r="43">
      <c r="A43" s="6" t="s">
        <v>126</v>
      </c>
      <c r="B43" s="6" t="s">
        <v>125</v>
      </c>
      <c r="C43" s="17">
        <v>300.0</v>
      </c>
      <c r="D43" s="17">
        <v>271.0</v>
      </c>
      <c r="E43" s="13">
        <f t="shared" si="2"/>
        <v>0.9033333333</v>
      </c>
      <c r="F43" s="14">
        <v>45663.0</v>
      </c>
    </row>
    <row r="44">
      <c r="A44" s="28" t="s">
        <v>127</v>
      </c>
      <c r="B44" s="11" t="s">
        <v>89</v>
      </c>
      <c r="C44" s="17">
        <v>9500.0</v>
      </c>
      <c r="D44" s="17">
        <v>905.0</v>
      </c>
      <c r="E44" s="13">
        <f t="shared" si="2"/>
        <v>0.09526315789</v>
      </c>
      <c r="F44" s="14">
        <v>45663.0</v>
      </c>
    </row>
    <row r="45">
      <c r="A45" s="28" t="s">
        <v>128</v>
      </c>
      <c r="B45" s="11" t="s">
        <v>41</v>
      </c>
      <c r="C45" s="17">
        <v>1000.0</v>
      </c>
      <c r="D45" s="17">
        <v>894.0</v>
      </c>
      <c r="E45" s="13">
        <f t="shared" si="2"/>
        <v>0.894</v>
      </c>
      <c r="F45" s="24"/>
    </row>
    <row r="46">
      <c r="A46" s="11" t="s">
        <v>129</v>
      </c>
      <c r="B46" s="11" t="s">
        <v>41</v>
      </c>
      <c r="C46" s="17">
        <v>5000.0</v>
      </c>
      <c r="D46" s="17">
        <v>920.0</v>
      </c>
      <c r="E46" s="13">
        <f t="shared" si="2"/>
        <v>0.184</v>
      </c>
      <c r="F46" s="14">
        <v>45663.0</v>
      </c>
      <c r="G46" s="18" t="s">
        <v>130</v>
      </c>
      <c r="H46" s="19" t="s">
        <v>73</v>
      </c>
    </row>
    <row r="47">
      <c r="A47" s="6" t="s">
        <v>131</v>
      </c>
      <c r="B47" s="11" t="s">
        <v>41</v>
      </c>
      <c r="C47" s="17">
        <v>2500.0</v>
      </c>
      <c r="D47" s="17">
        <v>489.0</v>
      </c>
      <c r="E47" s="13">
        <f t="shared" si="2"/>
        <v>0.1956</v>
      </c>
      <c r="F47" s="14">
        <v>45663.0</v>
      </c>
      <c r="G47" s="18" t="s">
        <v>132</v>
      </c>
      <c r="H47" s="19" t="s">
        <v>133</v>
      </c>
    </row>
    <row r="48">
      <c r="A48" s="6" t="s">
        <v>134</v>
      </c>
      <c r="B48" s="6" t="s">
        <v>135</v>
      </c>
      <c r="C48" s="17">
        <v>100.0</v>
      </c>
      <c r="D48" s="17">
        <v>1500.0</v>
      </c>
      <c r="E48" s="13">
        <f t="shared" si="2"/>
        <v>15</v>
      </c>
      <c r="F48" s="24"/>
    </row>
    <row r="49">
      <c r="A49" s="6" t="s">
        <v>136</v>
      </c>
      <c r="B49" s="29" t="s">
        <v>125</v>
      </c>
      <c r="C49" s="17">
        <v>5000.0</v>
      </c>
      <c r="D49" s="17">
        <v>1563.0</v>
      </c>
      <c r="E49" s="13">
        <f t="shared" si="2"/>
        <v>0.3126</v>
      </c>
      <c r="F49" s="24"/>
    </row>
    <row r="50">
      <c r="A50" s="6" t="s">
        <v>137</v>
      </c>
      <c r="B50" s="4"/>
      <c r="C50" s="17">
        <v>270.0</v>
      </c>
      <c r="D50" s="17">
        <v>42.0</v>
      </c>
      <c r="E50" s="13">
        <f t="shared" si="2"/>
        <v>0.1555555556</v>
      </c>
      <c r="F50" s="24"/>
    </row>
    <row r="51">
      <c r="A51" s="6" t="s">
        <v>138</v>
      </c>
      <c r="B51" s="23" t="s">
        <v>139</v>
      </c>
      <c r="C51" s="17">
        <v>400.0</v>
      </c>
      <c r="D51" s="17">
        <v>95.0</v>
      </c>
      <c r="E51" s="13">
        <f t="shared" si="2"/>
        <v>0.2375</v>
      </c>
      <c r="F51" s="24"/>
    </row>
    <row r="52">
      <c r="A52" s="11" t="s">
        <v>140</v>
      </c>
      <c r="B52" s="29" t="s">
        <v>125</v>
      </c>
      <c r="C52" s="17">
        <v>1000.0</v>
      </c>
      <c r="D52" s="17">
        <v>335.0</v>
      </c>
      <c r="E52" s="13">
        <f t="shared" si="2"/>
        <v>0.335</v>
      </c>
      <c r="F52" s="24"/>
    </row>
    <row r="53">
      <c r="A53" s="11" t="s">
        <v>141</v>
      </c>
      <c r="B53" s="29" t="s">
        <v>142</v>
      </c>
      <c r="C53" s="17">
        <v>1000.0</v>
      </c>
      <c r="D53" s="17">
        <v>400.0</v>
      </c>
      <c r="E53" s="13">
        <f t="shared" si="2"/>
        <v>0.4</v>
      </c>
      <c r="F53" s="24"/>
    </row>
    <row r="54">
      <c r="A54" s="11" t="s">
        <v>143</v>
      </c>
      <c r="B54" s="29" t="s">
        <v>125</v>
      </c>
      <c r="C54" s="17">
        <v>2000.0</v>
      </c>
      <c r="D54" s="17">
        <v>58.0</v>
      </c>
      <c r="E54" s="13">
        <f t="shared" si="2"/>
        <v>0.029</v>
      </c>
      <c r="F54" s="24"/>
    </row>
    <row r="55">
      <c r="A55" s="11" t="s">
        <v>144</v>
      </c>
      <c r="B55" s="4"/>
      <c r="C55" s="17">
        <v>1.0</v>
      </c>
      <c r="D55" s="17">
        <v>0.0</v>
      </c>
      <c r="E55" s="13">
        <f t="shared" si="2"/>
        <v>0</v>
      </c>
      <c r="F55" s="24"/>
    </row>
    <row r="56">
      <c r="A56" s="6" t="s">
        <v>145</v>
      </c>
      <c r="B56" s="30"/>
      <c r="C56" s="17">
        <v>500.0</v>
      </c>
      <c r="D56" s="17">
        <v>824.0</v>
      </c>
      <c r="E56" s="13">
        <f t="shared" si="2"/>
        <v>1.648</v>
      </c>
      <c r="F56" s="24"/>
    </row>
    <row r="57">
      <c r="A57" s="6" t="s">
        <v>146</v>
      </c>
      <c r="B57" s="23" t="s">
        <v>147</v>
      </c>
      <c r="C57" s="17">
        <v>100.0</v>
      </c>
      <c r="D57" s="17">
        <v>130.4</v>
      </c>
      <c r="E57" s="13">
        <f t="shared" si="2"/>
        <v>1.304</v>
      </c>
      <c r="F57" s="24"/>
    </row>
    <row r="58">
      <c r="A58" s="6" t="s">
        <v>148</v>
      </c>
      <c r="B58" s="29" t="s">
        <v>149</v>
      </c>
      <c r="C58" s="17">
        <v>250.0</v>
      </c>
      <c r="D58" s="17">
        <v>1000.0</v>
      </c>
      <c r="E58" s="13">
        <f t="shared" si="2"/>
        <v>4</v>
      </c>
      <c r="F58" s="24"/>
    </row>
    <row r="59">
      <c r="A59" s="31" t="s">
        <v>150</v>
      </c>
      <c r="B59" s="23" t="s">
        <v>151</v>
      </c>
      <c r="C59" s="17">
        <v>100.0</v>
      </c>
      <c r="D59" s="17">
        <v>450.0</v>
      </c>
      <c r="E59" s="13">
        <f t="shared" si="2"/>
        <v>4.5</v>
      </c>
      <c r="F59" s="24"/>
    </row>
    <row r="60">
      <c r="A60" s="31" t="s">
        <v>152</v>
      </c>
      <c r="B60" s="29" t="s">
        <v>153</v>
      </c>
      <c r="C60" s="17">
        <v>1000.0</v>
      </c>
      <c r="D60" s="17">
        <v>574.0</v>
      </c>
      <c r="E60" s="13">
        <f t="shared" si="2"/>
        <v>0.574</v>
      </c>
      <c r="F60" s="24"/>
    </row>
    <row r="61">
      <c r="A61" s="6" t="s">
        <v>154</v>
      </c>
      <c r="B61" s="4"/>
      <c r="C61" s="17">
        <v>270.0</v>
      </c>
      <c r="D61" s="17">
        <v>42.0</v>
      </c>
      <c r="E61" s="13">
        <f t="shared" si="2"/>
        <v>0.1555555556</v>
      </c>
      <c r="F61" s="24"/>
      <c r="G61" s="16" t="s">
        <v>155</v>
      </c>
    </row>
    <row r="62">
      <c r="A62" s="4"/>
      <c r="B62" s="29" t="s">
        <v>156</v>
      </c>
      <c r="C62" s="32"/>
      <c r="D62" s="32"/>
      <c r="E62" s="13"/>
      <c r="F62" s="24"/>
    </row>
    <row r="63">
      <c r="F63" s="24"/>
    </row>
    <row r="64">
      <c r="A64" s="6" t="s">
        <v>157</v>
      </c>
      <c r="B64" s="11" t="s">
        <v>41</v>
      </c>
      <c r="C64" s="17">
        <v>195.0</v>
      </c>
      <c r="D64" s="17">
        <v>511.0</v>
      </c>
      <c r="E64" s="13">
        <f t="shared" ref="E64:E106" si="3">D64/C64</f>
        <v>2.620512821</v>
      </c>
      <c r="F64" s="14">
        <v>46101.0</v>
      </c>
    </row>
    <row r="65">
      <c r="A65" s="6" t="s">
        <v>158</v>
      </c>
      <c r="B65" s="11" t="s">
        <v>41</v>
      </c>
      <c r="C65" s="17">
        <v>2500.0</v>
      </c>
      <c r="D65" s="17">
        <v>559.0</v>
      </c>
      <c r="E65" s="13">
        <f t="shared" si="3"/>
        <v>0.2236</v>
      </c>
      <c r="F65" s="33">
        <v>46101.0</v>
      </c>
    </row>
    <row r="66">
      <c r="A66" s="6" t="s">
        <v>159</v>
      </c>
      <c r="B66" s="11" t="s">
        <v>160</v>
      </c>
      <c r="C66" s="17">
        <v>1000.0</v>
      </c>
      <c r="D66" s="17">
        <v>60.0</v>
      </c>
      <c r="E66" s="13">
        <f t="shared" si="3"/>
        <v>0.06</v>
      </c>
      <c r="F66" s="24"/>
    </row>
    <row r="67">
      <c r="A67" s="6" t="s">
        <v>161</v>
      </c>
      <c r="B67" s="11" t="s">
        <v>41</v>
      </c>
      <c r="C67" s="17">
        <v>1000.0</v>
      </c>
      <c r="D67" s="17">
        <v>49.0</v>
      </c>
      <c r="E67" s="13">
        <f t="shared" si="3"/>
        <v>0.049</v>
      </c>
      <c r="F67" s="24"/>
    </row>
    <row r="68">
      <c r="A68" s="6" t="s">
        <v>162</v>
      </c>
      <c r="B68" s="11" t="s">
        <v>41</v>
      </c>
      <c r="C68" s="17">
        <v>1000.0</v>
      </c>
      <c r="D68" s="17">
        <v>600.0</v>
      </c>
      <c r="E68" s="13">
        <f t="shared" si="3"/>
        <v>0.6</v>
      </c>
      <c r="F68" s="14">
        <v>46115.0</v>
      </c>
    </row>
    <row r="69">
      <c r="A69" s="6" t="s">
        <v>163</v>
      </c>
      <c r="B69" s="11" t="s">
        <v>41</v>
      </c>
      <c r="C69" s="17">
        <v>1000.0</v>
      </c>
      <c r="D69" s="17">
        <v>619.0</v>
      </c>
      <c r="E69" s="13">
        <f t="shared" si="3"/>
        <v>0.619</v>
      </c>
      <c r="F69" s="14">
        <v>46051.0</v>
      </c>
    </row>
    <row r="70">
      <c r="A70" s="6" t="s">
        <v>164</v>
      </c>
      <c r="B70" s="11" t="s">
        <v>41</v>
      </c>
      <c r="C70" s="17">
        <v>2500.0</v>
      </c>
      <c r="D70" s="17">
        <v>499.0</v>
      </c>
      <c r="E70" s="13">
        <f t="shared" si="3"/>
        <v>0.1996</v>
      </c>
      <c r="F70" s="24"/>
    </row>
    <row r="71">
      <c r="A71" s="6" t="s">
        <v>165</v>
      </c>
      <c r="B71" s="11" t="s">
        <v>41</v>
      </c>
      <c r="C71" s="17">
        <v>500.0</v>
      </c>
      <c r="D71" s="17">
        <v>389.0</v>
      </c>
      <c r="E71" s="13">
        <f t="shared" si="3"/>
        <v>0.778</v>
      </c>
      <c r="F71" s="24"/>
    </row>
    <row r="72">
      <c r="A72" s="6" t="s">
        <v>166</v>
      </c>
      <c r="B72" s="11" t="s">
        <v>41</v>
      </c>
      <c r="C72" s="17">
        <v>1000.0</v>
      </c>
      <c r="D72" s="17">
        <v>203.0</v>
      </c>
      <c r="E72" s="13">
        <f t="shared" si="3"/>
        <v>0.203</v>
      </c>
      <c r="F72" s="24"/>
    </row>
    <row r="73">
      <c r="A73" s="15" t="s">
        <v>167</v>
      </c>
      <c r="B73" s="6" t="s">
        <v>89</v>
      </c>
      <c r="C73" s="17">
        <v>1000.0</v>
      </c>
      <c r="D73" s="17">
        <v>130.0</v>
      </c>
      <c r="E73" s="13">
        <f t="shared" si="3"/>
        <v>0.13</v>
      </c>
      <c r="F73" s="33">
        <v>46049.0</v>
      </c>
    </row>
    <row r="74">
      <c r="A74" s="6" t="s">
        <v>168</v>
      </c>
      <c r="B74" s="11" t="s">
        <v>41</v>
      </c>
      <c r="C74" s="17">
        <v>185.0</v>
      </c>
      <c r="D74" s="17">
        <v>209.0</v>
      </c>
      <c r="E74" s="13">
        <f t="shared" si="3"/>
        <v>1.12972973</v>
      </c>
      <c r="F74" s="33">
        <v>46101.0</v>
      </c>
    </row>
    <row r="75">
      <c r="A75" s="6" t="s">
        <v>169</v>
      </c>
      <c r="B75" s="11" t="s">
        <v>41</v>
      </c>
      <c r="C75" s="17">
        <v>1000.0</v>
      </c>
      <c r="D75" s="17">
        <v>459.0</v>
      </c>
      <c r="E75" s="13">
        <f t="shared" si="3"/>
        <v>0.459</v>
      </c>
      <c r="F75" s="33">
        <v>46101.0</v>
      </c>
    </row>
    <row r="76">
      <c r="A76" s="6" t="s">
        <v>170</v>
      </c>
      <c r="B76" s="11" t="s">
        <v>41</v>
      </c>
      <c r="C76" s="17">
        <v>480.0</v>
      </c>
      <c r="D76" s="17">
        <v>551.0</v>
      </c>
      <c r="E76" s="13">
        <f t="shared" si="3"/>
        <v>1.147916667</v>
      </c>
      <c r="F76" s="24"/>
    </row>
    <row r="77">
      <c r="A77" s="6" t="s">
        <v>171</v>
      </c>
      <c r="B77" s="11" t="s">
        <v>41</v>
      </c>
      <c r="C77" s="17">
        <v>1.0</v>
      </c>
      <c r="D77" s="17">
        <v>52.0</v>
      </c>
      <c r="E77" s="13">
        <f t="shared" si="3"/>
        <v>52</v>
      </c>
      <c r="F77" s="33">
        <v>46050.0</v>
      </c>
    </row>
    <row r="78">
      <c r="A78" s="6" t="s">
        <v>172</v>
      </c>
      <c r="B78" s="6" t="s">
        <v>89</v>
      </c>
      <c r="C78" s="17">
        <v>1000.0</v>
      </c>
      <c r="D78" s="17">
        <v>272.0</v>
      </c>
      <c r="E78" s="13">
        <f t="shared" si="3"/>
        <v>0.272</v>
      </c>
      <c r="F78" s="33">
        <v>46051.0</v>
      </c>
    </row>
    <row r="79">
      <c r="A79" s="6" t="s">
        <v>173</v>
      </c>
      <c r="B79" s="11" t="s">
        <v>41</v>
      </c>
      <c r="C79" s="17">
        <v>1000.0</v>
      </c>
      <c r="D79" s="17">
        <v>499.0</v>
      </c>
      <c r="E79" s="13">
        <f t="shared" si="3"/>
        <v>0.499</v>
      </c>
      <c r="F79" s="33">
        <v>46100.0</v>
      </c>
    </row>
    <row r="80">
      <c r="A80" s="6" t="s">
        <v>174</v>
      </c>
      <c r="B80" s="6" t="s">
        <v>125</v>
      </c>
      <c r="C80" s="17">
        <v>2500.0</v>
      </c>
      <c r="D80" s="17">
        <v>1685.0</v>
      </c>
      <c r="E80" s="13">
        <f t="shared" si="3"/>
        <v>0.674</v>
      </c>
      <c r="F80" s="33">
        <v>46101.0</v>
      </c>
    </row>
    <row r="81">
      <c r="A81" s="6" t="s">
        <v>175</v>
      </c>
      <c r="B81" s="11" t="s">
        <v>41</v>
      </c>
      <c r="C81" s="17">
        <v>1000.0</v>
      </c>
      <c r="D81" s="17">
        <v>334.0</v>
      </c>
      <c r="E81" s="13">
        <f t="shared" si="3"/>
        <v>0.334</v>
      </c>
      <c r="F81" s="24"/>
    </row>
    <row r="82">
      <c r="A82" s="6" t="s">
        <v>176</v>
      </c>
      <c r="B82" s="11" t="s">
        <v>41</v>
      </c>
      <c r="C82" s="17">
        <v>500.0</v>
      </c>
      <c r="D82" s="17">
        <v>389.0</v>
      </c>
      <c r="E82" s="13">
        <f t="shared" si="3"/>
        <v>0.778</v>
      </c>
      <c r="F82" s="24"/>
    </row>
    <row r="83">
      <c r="A83" s="6" t="s">
        <v>177</v>
      </c>
      <c r="B83" s="11" t="s">
        <v>41</v>
      </c>
      <c r="C83" s="17">
        <v>2500.0</v>
      </c>
      <c r="D83" s="17">
        <v>636.0</v>
      </c>
      <c r="E83" s="13">
        <f t="shared" si="3"/>
        <v>0.2544</v>
      </c>
      <c r="F83" s="24"/>
    </row>
    <row r="84">
      <c r="A84" s="6" t="s">
        <v>178</v>
      </c>
      <c r="B84" s="11" t="s">
        <v>41</v>
      </c>
      <c r="C84" s="17">
        <v>1000.0</v>
      </c>
      <c r="D84" s="17">
        <v>900.0</v>
      </c>
      <c r="E84" s="13">
        <f t="shared" si="3"/>
        <v>0.9</v>
      </c>
      <c r="F84" s="24"/>
    </row>
    <row r="85">
      <c r="A85" s="6" t="s">
        <v>179</v>
      </c>
      <c r="B85" s="11" t="s">
        <v>41</v>
      </c>
      <c r="C85" s="17">
        <v>1000.0</v>
      </c>
      <c r="D85" s="17">
        <v>239.0</v>
      </c>
      <c r="E85" s="13">
        <f t="shared" si="3"/>
        <v>0.239</v>
      </c>
      <c r="F85" s="24"/>
    </row>
    <row r="86">
      <c r="A86" s="6" t="s">
        <v>180</v>
      </c>
      <c r="B86" s="11" t="s">
        <v>41</v>
      </c>
      <c r="C86" s="17">
        <v>70.0</v>
      </c>
      <c r="D86" s="17">
        <v>65.0</v>
      </c>
      <c r="E86" s="13">
        <f t="shared" si="3"/>
        <v>0.9285714286</v>
      </c>
      <c r="F86" s="24"/>
    </row>
    <row r="87">
      <c r="A87" s="6" t="s">
        <v>181</v>
      </c>
      <c r="B87" s="11" t="s">
        <v>41</v>
      </c>
      <c r="C87" s="17">
        <v>1000.0</v>
      </c>
      <c r="D87" s="17">
        <v>79.0</v>
      </c>
      <c r="E87" s="13">
        <f t="shared" si="3"/>
        <v>0.079</v>
      </c>
      <c r="F87" s="24"/>
    </row>
    <row r="88">
      <c r="A88" s="6" t="s">
        <v>182</v>
      </c>
      <c r="B88" s="11" t="s">
        <v>41</v>
      </c>
      <c r="C88" s="17">
        <v>1000.0</v>
      </c>
      <c r="D88" s="17">
        <v>338.0</v>
      </c>
      <c r="E88" s="13">
        <f t="shared" si="3"/>
        <v>0.338</v>
      </c>
      <c r="F88" s="24"/>
    </row>
    <row r="89">
      <c r="A89" s="6" t="s">
        <v>183</v>
      </c>
      <c r="B89" s="6" t="s">
        <v>125</v>
      </c>
      <c r="C89" s="17">
        <v>1000.0</v>
      </c>
      <c r="D89" s="17">
        <v>385.0</v>
      </c>
      <c r="E89" s="13">
        <f t="shared" si="3"/>
        <v>0.385</v>
      </c>
      <c r="F89" s="24"/>
    </row>
    <row r="90">
      <c r="A90" s="6" t="s">
        <v>184</v>
      </c>
      <c r="B90" s="6" t="s">
        <v>89</v>
      </c>
      <c r="C90" s="17">
        <v>260.0</v>
      </c>
      <c r="D90" s="17">
        <v>60.0</v>
      </c>
      <c r="E90" s="13">
        <f t="shared" si="3"/>
        <v>0.2307692308</v>
      </c>
      <c r="F90" s="24"/>
    </row>
    <row r="91">
      <c r="A91" s="6" t="s">
        <v>185</v>
      </c>
      <c r="B91" s="11" t="s">
        <v>41</v>
      </c>
      <c r="C91" s="17">
        <v>1000.0</v>
      </c>
      <c r="D91" s="17">
        <v>1449.0</v>
      </c>
      <c r="E91" s="13">
        <f t="shared" si="3"/>
        <v>1.449</v>
      </c>
      <c r="F91" s="24"/>
    </row>
    <row r="92">
      <c r="A92" s="6" t="s">
        <v>186</v>
      </c>
      <c r="B92" s="11" t="s">
        <v>41</v>
      </c>
      <c r="C92" s="17">
        <v>30.0</v>
      </c>
      <c r="D92" s="17">
        <v>1295.0</v>
      </c>
      <c r="E92" s="13">
        <f t="shared" si="3"/>
        <v>43.16666667</v>
      </c>
      <c r="F92" s="24"/>
    </row>
    <row r="93">
      <c r="A93" s="6" t="s">
        <v>187</v>
      </c>
      <c r="B93" s="11" t="s">
        <v>41</v>
      </c>
      <c r="C93" s="17">
        <v>300.0</v>
      </c>
      <c r="D93" s="17">
        <v>385.0</v>
      </c>
      <c r="E93" s="13">
        <f t="shared" si="3"/>
        <v>1.283333333</v>
      </c>
      <c r="F93" s="24"/>
    </row>
    <row r="94">
      <c r="A94" s="6" t="s">
        <v>188</v>
      </c>
      <c r="B94" s="6">
        <v>5.0</v>
      </c>
      <c r="C94" s="17">
        <v>311.0</v>
      </c>
      <c r="D94" s="17">
        <v>215.0</v>
      </c>
      <c r="E94" s="13">
        <f t="shared" si="3"/>
        <v>0.691318328</v>
      </c>
      <c r="F94" s="24"/>
    </row>
    <row r="95">
      <c r="A95" s="6" t="s">
        <v>189</v>
      </c>
      <c r="B95" s="4"/>
      <c r="C95" s="17">
        <v>500.0</v>
      </c>
      <c r="D95" s="17">
        <v>595.0</v>
      </c>
      <c r="E95" s="13">
        <f t="shared" si="3"/>
        <v>1.19</v>
      </c>
      <c r="F95" s="24"/>
    </row>
    <row r="96">
      <c r="A96" s="6" t="s">
        <v>190</v>
      </c>
      <c r="B96" s="4"/>
      <c r="C96" s="17">
        <v>200.0</v>
      </c>
      <c r="D96" s="17">
        <v>272.0</v>
      </c>
      <c r="E96" s="13">
        <f t="shared" si="3"/>
        <v>1.36</v>
      </c>
      <c r="F96" s="24"/>
    </row>
    <row r="97">
      <c r="A97" s="6" t="s">
        <v>191</v>
      </c>
      <c r="B97" s="6" t="s">
        <v>192</v>
      </c>
      <c r="C97" s="17">
        <v>1000.0</v>
      </c>
      <c r="D97" s="17">
        <v>550.0</v>
      </c>
      <c r="E97" s="13">
        <f t="shared" si="3"/>
        <v>0.55</v>
      </c>
      <c r="F97" s="24"/>
    </row>
    <row r="98">
      <c r="A98" s="6" t="s">
        <v>193</v>
      </c>
      <c r="B98" s="11" t="s">
        <v>41</v>
      </c>
      <c r="C98" s="17">
        <v>1000.0</v>
      </c>
      <c r="D98" s="17">
        <v>111.0</v>
      </c>
      <c r="E98" s="13">
        <f t="shared" si="3"/>
        <v>0.111</v>
      </c>
      <c r="F98" s="24"/>
    </row>
    <row r="99">
      <c r="A99" s="6" t="s">
        <v>194</v>
      </c>
      <c r="B99" s="4"/>
      <c r="C99" s="17">
        <v>1000.0</v>
      </c>
      <c r="D99" s="17">
        <v>157.0</v>
      </c>
      <c r="E99" s="13">
        <f t="shared" si="3"/>
        <v>0.157</v>
      </c>
      <c r="F99" s="24"/>
    </row>
    <row r="100">
      <c r="A100" s="6" t="s">
        <v>195</v>
      </c>
      <c r="B100" s="4"/>
      <c r="C100" s="17">
        <v>200.0</v>
      </c>
      <c r="D100" s="17">
        <v>347.0</v>
      </c>
      <c r="E100" s="13">
        <f t="shared" si="3"/>
        <v>1.735</v>
      </c>
      <c r="F100" s="24"/>
    </row>
    <row r="101">
      <c r="A101" s="6" t="s">
        <v>196</v>
      </c>
      <c r="B101" s="11" t="s">
        <v>41</v>
      </c>
      <c r="C101" s="17">
        <v>1000.0</v>
      </c>
      <c r="D101" s="17">
        <v>205.0</v>
      </c>
      <c r="E101" s="13">
        <f t="shared" si="3"/>
        <v>0.205</v>
      </c>
      <c r="F101" s="24"/>
    </row>
    <row r="102">
      <c r="A102" s="6" t="s">
        <v>197</v>
      </c>
      <c r="B102" s="6" t="s">
        <v>89</v>
      </c>
      <c r="C102" s="17">
        <v>5000.0</v>
      </c>
      <c r="D102" s="17">
        <v>1281.0</v>
      </c>
      <c r="E102" s="13">
        <f t="shared" si="3"/>
        <v>0.2562</v>
      </c>
      <c r="F102" s="24"/>
    </row>
    <row r="103">
      <c r="A103" s="6" t="s">
        <v>198</v>
      </c>
      <c r="B103" s="11" t="s">
        <v>41</v>
      </c>
      <c r="C103" s="17">
        <v>500.0</v>
      </c>
      <c r="D103" s="17">
        <v>63.0</v>
      </c>
      <c r="E103" s="13">
        <f t="shared" si="3"/>
        <v>0.126</v>
      </c>
      <c r="F103" s="24"/>
    </row>
    <row r="104">
      <c r="A104" s="6" t="s">
        <v>34</v>
      </c>
      <c r="B104" s="11" t="s">
        <v>41</v>
      </c>
      <c r="C104" s="17">
        <v>3000.0</v>
      </c>
      <c r="D104" s="17">
        <v>529.0</v>
      </c>
      <c r="E104" s="13">
        <f t="shared" si="3"/>
        <v>0.1763333333</v>
      </c>
      <c r="F104" s="24"/>
    </row>
    <row r="105">
      <c r="A105" s="6" t="s">
        <v>199</v>
      </c>
      <c r="B105" s="6" t="s">
        <v>200</v>
      </c>
      <c r="C105" s="17">
        <v>3000.0</v>
      </c>
      <c r="D105" s="17">
        <v>4500.0</v>
      </c>
      <c r="E105" s="13">
        <f t="shared" si="3"/>
        <v>1.5</v>
      </c>
      <c r="F105" s="24"/>
    </row>
    <row r="106">
      <c r="A106" s="6" t="s">
        <v>201</v>
      </c>
      <c r="B106" s="6" t="s">
        <v>200</v>
      </c>
      <c r="C106" s="17">
        <v>3000.0</v>
      </c>
      <c r="D106" s="17">
        <v>2250.0</v>
      </c>
      <c r="E106" s="13">
        <f t="shared" si="3"/>
        <v>0.75</v>
      </c>
      <c r="F106" s="24"/>
    </row>
    <row r="107">
      <c r="A107" s="4"/>
      <c r="B107" s="4"/>
      <c r="C107" s="32"/>
      <c r="D107" s="32"/>
      <c r="E107" s="34"/>
      <c r="F107" s="24"/>
    </row>
    <row r="108">
      <c r="A108" s="4"/>
      <c r="B108" s="4"/>
      <c r="C108" s="32"/>
      <c r="D108" s="32"/>
      <c r="E108" s="34"/>
      <c r="F108" s="24"/>
    </row>
    <row r="109">
      <c r="A109" s="4"/>
      <c r="B109" s="4"/>
      <c r="C109" s="32"/>
      <c r="D109" s="32"/>
      <c r="E109" s="34"/>
      <c r="F109" s="24"/>
    </row>
    <row r="110">
      <c r="A110" s="4"/>
      <c r="B110" s="4"/>
      <c r="C110" s="32"/>
      <c r="D110" s="32"/>
      <c r="E110" s="34"/>
      <c r="F110" s="24"/>
    </row>
    <row r="111">
      <c r="A111" s="4"/>
      <c r="B111" s="4"/>
      <c r="C111" s="32"/>
      <c r="D111" s="32"/>
      <c r="E111" s="34"/>
      <c r="F111" s="24"/>
    </row>
    <row r="112">
      <c r="A112" s="4"/>
      <c r="B112" s="4"/>
      <c r="C112" s="32"/>
      <c r="D112" s="32"/>
      <c r="E112" s="34"/>
      <c r="F112" s="24"/>
    </row>
    <row r="113">
      <c r="A113" s="4"/>
      <c r="B113" s="4"/>
      <c r="C113" s="32"/>
      <c r="D113" s="32"/>
      <c r="E113" s="34"/>
      <c r="F113" s="24"/>
    </row>
    <row r="114">
      <c r="A114" s="4"/>
      <c r="B114" s="4"/>
      <c r="C114" s="32"/>
      <c r="D114" s="32"/>
      <c r="E114" s="34"/>
      <c r="F114" s="24"/>
    </row>
    <row r="115">
      <c r="A115" s="4"/>
      <c r="B115" s="4"/>
      <c r="C115" s="32"/>
      <c r="D115" s="32"/>
      <c r="E115" s="34"/>
      <c r="F115" s="24"/>
    </row>
    <row r="116">
      <c r="A116" s="4"/>
      <c r="B116" s="4"/>
      <c r="C116" s="32"/>
      <c r="D116" s="32"/>
      <c r="E116" s="34"/>
      <c r="F116" s="24"/>
    </row>
    <row r="117">
      <c r="A117" s="4"/>
      <c r="B117" s="4"/>
      <c r="C117" s="32"/>
      <c r="D117" s="32"/>
      <c r="E117" s="34"/>
      <c r="F117" s="24"/>
    </row>
    <row r="118">
      <c r="A118" s="4"/>
      <c r="B118" s="4"/>
      <c r="C118" s="32"/>
      <c r="D118" s="32"/>
      <c r="E118" s="34"/>
      <c r="F118" s="24"/>
    </row>
    <row r="119">
      <c r="A119" s="4"/>
      <c r="B119" s="4"/>
      <c r="C119" s="32"/>
      <c r="D119" s="32"/>
      <c r="E119" s="34"/>
      <c r="F119" s="24"/>
    </row>
    <row r="120">
      <c r="A120" s="4"/>
      <c r="B120" s="4"/>
      <c r="C120" s="32"/>
      <c r="D120" s="32"/>
      <c r="E120" s="34"/>
      <c r="F120" s="24"/>
    </row>
    <row r="121">
      <c r="A121" s="4"/>
      <c r="B121" s="4"/>
      <c r="C121" s="32"/>
      <c r="D121" s="32"/>
      <c r="E121" s="34"/>
      <c r="F121" s="24"/>
    </row>
    <row r="122">
      <c r="A122" s="4"/>
      <c r="B122" s="4"/>
      <c r="C122" s="32"/>
      <c r="D122" s="32"/>
      <c r="E122" s="34"/>
      <c r="F122" s="24"/>
    </row>
    <row r="123">
      <c r="A123" s="4"/>
      <c r="B123" s="4"/>
      <c r="C123" s="32"/>
      <c r="D123" s="32"/>
      <c r="E123" s="34"/>
      <c r="F123" s="24"/>
    </row>
    <row r="124">
      <c r="A124" s="4"/>
      <c r="B124" s="4"/>
      <c r="C124" s="32"/>
      <c r="D124" s="32"/>
      <c r="E124" s="34"/>
      <c r="F124" s="24"/>
    </row>
    <row r="125">
      <c r="A125" s="4"/>
      <c r="B125" s="4"/>
      <c r="C125" s="32"/>
      <c r="D125" s="32"/>
      <c r="E125" s="34"/>
      <c r="F125" s="24"/>
    </row>
    <row r="126">
      <c r="A126" s="4"/>
      <c r="B126" s="4"/>
      <c r="C126" s="32"/>
      <c r="D126" s="32"/>
      <c r="E126" s="34"/>
      <c r="F126" s="24"/>
    </row>
    <row r="127">
      <c r="A127" s="4"/>
      <c r="B127" s="4"/>
      <c r="C127" s="32"/>
      <c r="D127" s="32"/>
      <c r="E127" s="34"/>
      <c r="F127" s="24"/>
    </row>
    <row r="128">
      <c r="A128" s="4"/>
      <c r="B128" s="4"/>
      <c r="C128" s="32"/>
      <c r="D128" s="32"/>
      <c r="E128" s="34"/>
      <c r="F128" s="24"/>
    </row>
    <row r="129">
      <c r="A129" s="4"/>
      <c r="B129" s="4"/>
      <c r="C129" s="32"/>
      <c r="D129" s="32"/>
      <c r="E129" s="34"/>
      <c r="F129" s="24"/>
    </row>
    <row r="130">
      <c r="A130" s="4"/>
      <c r="B130" s="4"/>
      <c r="C130" s="32"/>
      <c r="D130" s="32"/>
      <c r="E130" s="34"/>
      <c r="F130" s="24"/>
    </row>
    <row r="131">
      <c r="A131" s="4"/>
      <c r="B131" s="4"/>
      <c r="C131" s="32"/>
      <c r="D131" s="32"/>
      <c r="E131" s="34"/>
      <c r="F131" s="24"/>
    </row>
    <row r="132">
      <c r="A132" s="4"/>
      <c r="B132" s="4"/>
      <c r="C132" s="32"/>
      <c r="D132" s="32"/>
      <c r="E132" s="34"/>
      <c r="F132" s="24"/>
    </row>
    <row r="133">
      <c r="A133" s="4"/>
      <c r="B133" s="4"/>
      <c r="C133" s="32"/>
      <c r="D133" s="32"/>
      <c r="E133" s="34"/>
      <c r="F133" s="24"/>
    </row>
    <row r="134">
      <c r="A134" s="4"/>
      <c r="B134" s="4"/>
      <c r="C134" s="32"/>
      <c r="D134" s="32"/>
      <c r="E134" s="34"/>
      <c r="F134" s="24"/>
    </row>
    <row r="135">
      <c r="A135" s="4"/>
      <c r="B135" s="4"/>
      <c r="C135" s="32"/>
      <c r="D135" s="32"/>
      <c r="E135" s="34"/>
      <c r="F135" s="24"/>
    </row>
    <row r="136">
      <c r="A136" s="4"/>
      <c r="B136" s="4"/>
      <c r="C136" s="32"/>
      <c r="D136" s="32"/>
      <c r="E136" s="34"/>
      <c r="F136" s="24"/>
    </row>
    <row r="137">
      <c r="A137" s="4"/>
      <c r="B137" s="4"/>
      <c r="C137" s="32"/>
      <c r="D137" s="32"/>
      <c r="E137" s="34"/>
      <c r="F137" s="24"/>
    </row>
    <row r="138">
      <c r="A138" s="4"/>
      <c r="B138" s="4"/>
      <c r="C138" s="32"/>
      <c r="D138" s="32"/>
      <c r="E138" s="34"/>
      <c r="F138" s="24"/>
    </row>
    <row r="139">
      <c r="A139" s="4"/>
      <c r="B139" s="4"/>
      <c r="C139" s="32"/>
      <c r="D139" s="32"/>
      <c r="E139" s="34"/>
      <c r="F139" s="24"/>
    </row>
    <row r="140">
      <c r="A140" s="4"/>
      <c r="B140" s="4"/>
      <c r="C140" s="32"/>
      <c r="D140" s="32"/>
      <c r="E140" s="34"/>
      <c r="F140" s="24"/>
    </row>
    <row r="141">
      <c r="A141" s="4"/>
      <c r="B141" s="4"/>
      <c r="C141" s="32"/>
      <c r="D141" s="32"/>
      <c r="E141" s="34"/>
      <c r="F141" s="24"/>
    </row>
    <row r="142">
      <c r="A142" s="4"/>
      <c r="B142" s="4"/>
      <c r="C142" s="32"/>
      <c r="D142" s="32"/>
      <c r="E142" s="34"/>
      <c r="F142" s="24"/>
    </row>
    <row r="143">
      <c r="A143" s="4"/>
      <c r="B143" s="4"/>
      <c r="C143" s="32"/>
      <c r="D143" s="32"/>
      <c r="E143" s="34"/>
      <c r="F143" s="24"/>
    </row>
    <row r="144">
      <c r="A144" s="4"/>
      <c r="B144" s="4"/>
      <c r="C144" s="32"/>
      <c r="D144" s="32"/>
      <c r="E144" s="34"/>
      <c r="F144" s="24"/>
    </row>
    <row r="145">
      <c r="A145" s="4"/>
      <c r="B145" s="4"/>
      <c r="C145" s="32"/>
      <c r="D145" s="32"/>
      <c r="E145" s="34"/>
      <c r="F145" s="24"/>
    </row>
    <row r="146">
      <c r="A146" s="4"/>
      <c r="B146" s="4"/>
      <c r="C146" s="32"/>
      <c r="D146" s="32"/>
      <c r="E146" s="34"/>
      <c r="F146" s="24"/>
    </row>
    <row r="147">
      <c r="A147" s="4"/>
      <c r="B147" s="4"/>
      <c r="C147" s="32"/>
      <c r="D147" s="32"/>
      <c r="E147" s="34"/>
      <c r="F147" s="24"/>
    </row>
    <row r="148">
      <c r="A148" s="4"/>
      <c r="B148" s="4"/>
      <c r="C148" s="32"/>
      <c r="D148" s="32"/>
      <c r="E148" s="34"/>
      <c r="F148" s="24"/>
    </row>
    <row r="149">
      <c r="A149" s="4"/>
      <c r="B149" s="4"/>
      <c r="C149" s="32"/>
      <c r="D149" s="32"/>
      <c r="E149" s="34"/>
      <c r="F149" s="24"/>
    </row>
    <row r="150">
      <c r="A150" s="4"/>
      <c r="B150" s="4"/>
      <c r="C150" s="32"/>
      <c r="D150" s="32"/>
      <c r="E150" s="34"/>
      <c r="F150" s="24"/>
    </row>
    <row r="151">
      <c r="A151" s="4"/>
      <c r="B151" s="4"/>
      <c r="C151" s="32"/>
      <c r="D151" s="32"/>
      <c r="E151" s="34"/>
      <c r="F151" s="24"/>
    </row>
    <row r="152">
      <c r="A152" s="4"/>
      <c r="B152" s="4"/>
      <c r="C152" s="32"/>
      <c r="D152" s="32"/>
      <c r="E152" s="34"/>
      <c r="F152" s="24"/>
    </row>
    <row r="153">
      <c r="A153" s="4"/>
      <c r="B153" s="4"/>
      <c r="C153" s="32"/>
      <c r="D153" s="32"/>
      <c r="E153" s="34"/>
      <c r="F153" s="24"/>
    </row>
    <row r="154">
      <c r="A154" s="4"/>
      <c r="B154" s="4"/>
      <c r="C154" s="32"/>
      <c r="D154" s="32"/>
      <c r="E154" s="34"/>
      <c r="F154" s="24"/>
    </row>
    <row r="155">
      <c r="A155" s="4"/>
      <c r="B155" s="4"/>
      <c r="C155" s="32"/>
      <c r="D155" s="32"/>
      <c r="E155" s="34"/>
      <c r="F155" s="24"/>
    </row>
    <row r="156">
      <c r="A156" s="4"/>
      <c r="B156" s="4"/>
      <c r="C156" s="32"/>
      <c r="D156" s="32"/>
      <c r="E156" s="34"/>
      <c r="F156" s="24"/>
    </row>
    <row r="157">
      <c r="A157" s="4"/>
      <c r="B157" s="4"/>
      <c r="C157" s="32"/>
      <c r="D157" s="32"/>
      <c r="E157" s="34"/>
      <c r="F157" s="24"/>
    </row>
    <row r="158">
      <c r="A158" s="4"/>
      <c r="B158" s="4"/>
      <c r="C158" s="32"/>
      <c r="D158" s="32"/>
      <c r="E158" s="34"/>
      <c r="F158" s="24"/>
    </row>
    <row r="159">
      <c r="A159" s="4"/>
      <c r="B159" s="4"/>
      <c r="C159" s="32"/>
      <c r="D159" s="32"/>
      <c r="E159" s="34"/>
      <c r="F159" s="24"/>
    </row>
    <row r="160">
      <c r="A160" s="4"/>
      <c r="B160" s="4"/>
      <c r="C160" s="32"/>
      <c r="D160" s="32"/>
      <c r="E160" s="34"/>
      <c r="F160" s="24"/>
    </row>
    <row r="161">
      <c r="A161" s="4"/>
      <c r="B161" s="4"/>
      <c r="C161" s="32"/>
      <c r="D161" s="32"/>
      <c r="E161" s="34"/>
      <c r="F161" s="24"/>
    </row>
    <row r="162">
      <c r="A162" s="4"/>
      <c r="B162" s="4"/>
      <c r="C162" s="32"/>
      <c r="D162" s="32"/>
      <c r="E162" s="34"/>
      <c r="F162" s="24"/>
    </row>
    <row r="163">
      <c r="A163" s="4"/>
      <c r="B163" s="4"/>
      <c r="C163" s="32"/>
      <c r="D163" s="32"/>
      <c r="E163" s="34"/>
      <c r="F163" s="24"/>
    </row>
    <row r="164">
      <c r="A164" s="4"/>
      <c r="B164" s="4"/>
      <c r="C164" s="32"/>
      <c r="D164" s="32"/>
      <c r="E164" s="34"/>
      <c r="F164" s="24"/>
    </row>
    <row r="165">
      <c r="A165" s="4"/>
      <c r="B165" s="4"/>
      <c r="C165" s="32"/>
      <c r="D165" s="32"/>
      <c r="E165" s="34"/>
      <c r="F165" s="24"/>
    </row>
    <row r="166">
      <c r="A166" s="4"/>
      <c r="B166" s="4"/>
      <c r="C166" s="32"/>
      <c r="D166" s="32"/>
      <c r="E166" s="34"/>
      <c r="F166" s="24"/>
    </row>
    <row r="167">
      <c r="A167" s="4"/>
      <c r="B167" s="4"/>
      <c r="C167" s="32"/>
      <c r="D167" s="32"/>
      <c r="E167" s="34"/>
      <c r="F167" s="24"/>
    </row>
    <row r="168">
      <c r="A168" s="4"/>
      <c r="B168" s="4"/>
      <c r="C168" s="32"/>
      <c r="D168" s="32"/>
      <c r="E168" s="34"/>
      <c r="F168" s="24"/>
    </row>
    <row r="169">
      <c r="A169" s="4"/>
      <c r="B169" s="4"/>
      <c r="C169" s="32"/>
      <c r="D169" s="32"/>
      <c r="E169" s="34"/>
      <c r="F169" s="24"/>
    </row>
    <row r="170">
      <c r="A170" s="4"/>
      <c r="B170" s="4"/>
      <c r="C170" s="32"/>
      <c r="D170" s="32"/>
      <c r="E170" s="34"/>
      <c r="F170" s="24"/>
    </row>
    <row r="171">
      <c r="A171" s="4"/>
      <c r="B171" s="4"/>
      <c r="C171" s="32"/>
      <c r="D171" s="32"/>
      <c r="E171" s="34"/>
      <c r="F171" s="24"/>
    </row>
    <row r="172">
      <c r="A172" s="4"/>
      <c r="B172" s="4"/>
      <c r="C172" s="32"/>
      <c r="D172" s="32"/>
      <c r="E172" s="34"/>
      <c r="F172" s="24"/>
    </row>
    <row r="173">
      <c r="A173" s="4"/>
      <c r="B173" s="4"/>
      <c r="C173" s="32"/>
      <c r="D173" s="32"/>
      <c r="E173" s="34"/>
      <c r="F173" s="24"/>
    </row>
    <row r="174">
      <c r="A174" s="4"/>
      <c r="B174" s="4"/>
      <c r="C174" s="32"/>
      <c r="D174" s="32"/>
      <c r="E174" s="34"/>
      <c r="F174" s="24"/>
    </row>
    <row r="175">
      <c r="A175" s="4"/>
      <c r="B175" s="4"/>
      <c r="C175" s="32"/>
      <c r="D175" s="32"/>
      <c r="E175" s="34"/>
      <c r="F175" s="24"/>
    </row>
    <row r="176">
      <c r="A176" s="4"/>
      <c r="B176" s="4"/>
      <c r="C176" s="32"/>
      <c r="D176" s="32"/>
      <c r="E176" s="34"/>
      <c r="F176" s="24"/>
    </row>
    <row r="177">
      <c r="A177" s="4"/>
      <c r="B177" s="4"/>
      <c r="C177" s="32"/>
      <c r="D177" s="32"/>
      <c r="E177" s="34"/>
      <c r="F177" s="24"/>
    </row>
    <row r="178">
      <c r="A178" s="4"/>
      <c r="B178" s="4"/>
      <c r="C178" s="32"/>
      <c r="D178" s="32"/>
      <c r="E178" s="34"/>
      <c r="F178" s="24"/>
    </row>
    <row r="179">
      <c r="A179" s="4"/>
      <c r="B179" s="4"/>
      <c r="C179" s="32"/>
      <c r="D179" s="32"/>
      <c r="E179" s="34"/>
      <c r="F179" s="24"/>
    </row>
    <row r="180">
      <c r="A180" s="4"/>
      <c r="B180" s="4"/>
      <c r="C180" s="32"/>
      <c r="D180" s="32"/>
      <c r="E180" s="34"/>
      <c r="F180" s="24"/>
    </row>
    <row r="181">
      <c r="A181" s="4"/>
      <c r="B181" s="4"/>
      <c r="C181" s="32"/>
      <c r="D181" s="32"/>
      <c r="E181" s="34"/>
      <c r="F181" s="24"/>
    </row>
    <row r="182">
      <c r="A182" s="4"/>
      <c r="B182" s="4"/>
      <c r="C182" s="32"/>
      <c r="D182" s="32"/>
      <c r="E182" s="34"/>
      <c r="F182" s="24"/>
    </row>
    <row r="183">
      <c r="A183" s="4"/>
      <c r="B183" s="4"/>
      <c r="C183" s="32"/>
      <c r="D183" s="32"/>
      <c r="E183" s="34"/>
      <c r="F183" s="24"/>
    </row>
    <row r="184">
      <c r="A184" s="4"/>
      <c r="B184" s="4"/>
      <c r="C184" s="32"/>
      <c r="D184" s="32"/>
      <c r="E184" s="34"/>
      <c r="F184" s="24"/>
    </row>
    <row r="185">
      <c r="A185" s="4"/>
      <c r="B185" s="4"/>
      <c r="C185" s="32"/>
      <c r="D185" s="32"/>
      <c r="E185" s="34"/>
      <c r="F185" s="24"/>
    </row>
    <row r="186">
      <c r="A186" s="4"/>
      <c r="B186" s="4"/>
      <c r="C186" s="32"/>
      <c r="D186" s="32"/>
      <c r="E186" s="34"/>
      <c r="F186" s="24"/>
    </row>
    <row r="187">
      <c r="A187" s="4"/>
      <c r="B187" s="4"/>
      <c r="C187" s="32"/>
      <c r="D187" s="32"/>
      <c r="E187" s="34"/>
      <c r="F187" s="24"/>
    </row>
    <row r="188">
      <c r="A188" s="4"/>
      <c r="B188" s="4"/>
      <c r="C188" s="32"/>
      <c r="D188" s="32"/>
      <c r="E188" s="34"/>
      <c r="F188" s="24"/>
    </row>
    <row r="189">
      <c r="A189" s="4"/>
      <c r="B189" s="4"/>
      <c r="C189" s="32"/>
      <c r="D189" s="32"/>
      <c r="E189" s="34"/>
      <c r="F189" s="24"/>
    </row>
    <row r="190">
      <c r="A190" s="4"/>
      <c r="B190" s="4"/>
      <c r="C190" s="32"/>
      <c r="D190" s="32"/>
      <c r="E190" s="34"/>
      <c r="F190" s="24"/>
    </row>
    <row r="191">
      <c r="A191" s="4"/>
      <c r="B191" s="4"/>
      <c r="C191" s="32"/>
      <c r="D191" s="32"/>
      <c r="E191" s="34"/>
      <c r="F191" s="24"/>
    </row>
    <row r="192">
      <c r="A192" s="4"/>
      <c r="B192" s="4"/>
      <c r="C192" s="32"/>
      <c r="D192" s="32"/>
      <c r="E192" s="34"/>
      <c r="F192" s="24"/>
    </row>
    <row r="193">
      <c r="A193" s="4"/>
      <c r="B193" s="4"/>
      <c r="C193" s="32"/>
      <c r="D193" s="32"/>
      <c r="E193" s="34"/>
      <c r="F193" s="24"/>
    </row>
    <row r="194">
      <c r="A194" s="4"/>
      <c r="B194" s="4"/>
      <c r="C194" s="32"/>
      <c r="D194" s="32"/>
      <c r="E194" s="34"/>
      <c r="F194" s="24"/>
    </row>
    <row r="195">
      <c r="A195" s="4"/>
      <c r="B195" s="4"/>
      <c r="C195" s="32"/>
      <c r="D195" s="32"/>
      <c r="E195" s="34"/>
      <c r="F195" s="24"/>
    </row>
    <row r="196">
      <c r="A196" s="4"/>
      <c r="B196" s="4"/>
      <c r="C196" s="32"/>
      <c r="D196" s="32"/>
      <c r="E196" s="34"/>
      <c r="F196" s="24"/>
    </row>
    <row r="197">
      <c r="A197" s="4"/>
      <c r="B197" s="4"/>
      <c r="C197" s="32"/>
      <c r="D197" s="32"/>
      <c r="E197" s="34"/>
      <c r="F197" s="24"/>
    </row>
    <row r="198">
      <c r="A198" s="4"/>
      <c r="B198" s="4"/>
      <c r="C198" s="32"/>
      <c r="D198" s="32"/>
      <c r="E198" s="34"/>
      <c r="F198" s="24"/>
    </row>
    <row r="199">
      <c r="A199" s="4"/>
      <c r="B199" s="4"/>
      <c r="C199" s="32"/>
      <c r="D199" s="32"/>
      <c r="E199" s="34"/>
      <c r="F199" s="24"/>
    </row>
    <row r="200">
      <c r="A200" s="4"/>
      <c r="B200" s="4"/>
      <c r="C200" s="32"/>
      <c r="D200" s="32"/>
      <c r="E200" s="34"/>
      <c r="F200" s="24"/>
    </row>
    <row r="201">
      <c r="A201" s="4"/>
      <c r="B201" s="4"/>
      <c r="C201" s="32"/>
      <c r="D201" s="32"/>
      <c r="E201" s="34"/>
      <c r="F201" s="24"/>
    </row>
    <row r="202">
      <c r="A202" s="4"/>
      <c r="B202" s="4"/>
      <c r="C202" s="32"/>
      <c r="D202" s="32"/>
      <c r="E202" s="34"/>
      <c r="F202" s="24"/>
    </row>
    <row r="203">
      <c r="A203" s="4"/>
      <c r="B203" s="4"/>
      <c r="C203" s="32"/>
      <c r="D203" s="32"/>
      <c r="E203" s="34"/>
      <c r="F203" s="24"/>
    </row>
    <row r="204">
      <c r="A204" s="4"/>
      <c r="B204" s="4"/>
      <c r="C204" s="32"/>
      <c r="D204" s="32"/>
      <c r="E204" s="34"/>
      <c r="F204" s="24"/>
    </row>
    <row r="205">
      <c r="A205" s="4"/>
      <c r="B205" s="4"/>
      <c r="C205" s="32"/>
      <c r="D205" s="32"/>
      <c r="E205" s="34"/>
      <c r="F205" s="24"/>
    </row>
    <row r="206">
      <c r="A206" s="4"/>
      <c r="B206" s="4"/>
      <c r="C206" s="32"/>
      <c r="D206" s="32"/>
      <c r="E206" s="34"/>
      <c r="F206" s="24"/>
    </row>
    <row r="207">
      <c r="A207" s="4"/>
      <c r="B207" s="4"/>
      <c r="C207" s="32"/>
      <c r="D207" s="32"/>
      <c r="E207" s="34"/>
      <c r="F207" s="24"/>
    </row>
    <row r="208">
      <c r="A208" s="4"/>
      <c r="B208" s="4"/>
      <c r="C208" s="32"/>
      <c r="D208" s="32"/>
      <c r="E208" s="34"/>
      <c r="F208" s="24"/>
    </row>
    <row r="209">
      <c r="A209" s="4"/>
      <c r="B209" s="4"/>
      <c r="C209" s="32"/>
      <c r="D209" s="32"/>
      <c r="E209" s="34"/>
      <c r="F209" s="24"/>
    </row>
    <row r="210">
      <c r="A210" s="4"/>
      <c r="B210" s="4"/>
      <c r="C210" s="32"/>
      <c r="D210" s="32"/>
      <c r="E210" s="34"/>
      <c r="F210" s="24"/>
    </row>
    <row r="211">
      <c r="A211" s="4"/>
      <c r="B211" s="4"/>
      <c r="C211" s="32"/>
      <c r="D211" s="32"/>
      <c r="E211" s="34"/>
      <c r="F211" s="24"/>
    </row>
    <row r="212">
      <c r="A212" s="4"/>
      <c r="B212" s="4"/>
      <c r="C212" s="32"/>
      <c r="D212" s="32"/>
      <c r="E212" s="34"/>
      <c r="F212" s="24"/>
    </row>
    <row r="213">
      <c r="A213" s="4"/>
      <c r="B213" s="4"/>
      <c r="C213" s="32"/>
      <c r="D213" s="32"/>
      <c r="E213" s="34"/>
      <c r="F213" s="24"/>
    </row>
    <row r="214">
      <c r="A214" s="4"/>
      <c r="B214" s="4"/>
      <c r="C214" s="32"/>
      <c r="D214" s="32"/>
      <c r="E214" s="34"/>
      <c r="F214" s="24"/>
    </row>
    <row r="215">
      <c r="A215" s="4"/>
      <c r="B215" s="4"/>
      <c r="C215" s="32"/>
      <c r="D215" s="32"/>
      <c r="E215" s="34"/>
      <c r="F215" s="24"/>
    </row>
    <row r="216">
      <c r="A216" s="4"/>
      <c r="B216" s="4"/>
      <c r="C216" s="32"/>
      <c r="D216" s="32"/>
      <c r="E216" s="34"/>
      <c r="F216" s="24"/>
    </row>
    <row r="217">
      <c r="A217" s="4"/>
      <c r="B217" s="4"/>
      <c r="C217" s="32"/>
      <c r="D217" s="32"/>
      <c r="E217" s="34"/>
      <c r="F217" s="24"/>
    </row>
    <row r="218">
      <c r="A218" s="4"/>
      <c r="B218" s="4"/>
      <c r="C218" s="32"/>
      <c r="D218" s="32"/>
      <c r="E218" s="34"/>
      <c r="F218" s="24"/>
    </row>
    <row r="219">
      <c r="A219" s="4"/>
      <c r="B219" s="4"/>
      <c r="C219" s="32"/>
      <c r="D219" s="32"/>
      <c r="E219" s="34"/>
      <c r="F219" s="24"/>
    </row>
    <row r="220">
      <c r="A220" s="4"/>
      <c r="B220" s="4"/>
      <c r="C220" s="32"/>
      <c r="D220" s="32"/>
      <c r="E220" s="34"/>
      <c r="F220" s="24"/>
    </row>
    <row r="221">
      <c r="A221" s="4"/>
      <c r="B221" s="4"/>
      <c r="C221" s="32"/>
      <c r="D221" s="32"/>
      <c r="E221" s="34"/>
      <c r="F221" s="24"/>
    </row>
    <row r="222">
      <c r="A222" s="4"/>
      <c r="B222" s="4"/>
      <c r="C222" s="32"/>
      <c r="D222" s="32"/>
      <c r="E222" s="34"/>
      <c r="F222" s="24"/>
    </row>
    <row r="223">
      <c r="A223" s="4"/>
      <c r="B223" s="4"/>
      <c r="C223" s="32"/>
      <c r="D223" s="32"/>
      <c r="E223" s="34"/>
      <c r="F223" s="24"/>
    </row>
    <row r="224">
      <c r="A224" s="4"/>
      <c r="B224" s="4"/>
      <c r="C224" s="32"/>
      <c r="D224" s="32"/>
      <c r="E224" s="34"/>
      <c r="F224" s="24"/>
    </row>
    <row r="225">
      <c r="A225" s="4"/>
      <c r="B225" s="4"/>
      <c r="C225" s="32"/>
      <c r="D225" s="32"/>
      <c r="E225" s="34"/>
      <c r="F225" s="24"/>
    </row>
    <row r="226">
      <c r="A226" s="4"/>
      <c r="B226" s="4"/>
      <c r="C226" s="32"/>
      <c r="D226" s="32"/>
      <c r="E226" s="34"/>
      <c r="F226" s="24"/>
    </row>
    <row r="227">
      <c r="A227" s="4"/>
      <c r="B227" s="4"/>
      <c r="C227" s="32"/>
      <c r="D227" s="32"/>
      <c r="E227" s="34"/>
      <c r="F227" s="24"/>
    </row>
    <row r="228">
      <c r="A228" s="4"/>
      <c r="B228" s="4"/>
      <c r="C228" s="32"/>
      <c r="D228" s="32"/>
      <c r="E228" s="34"/>
      <c r="F228" s="24"/>
    </row>
    <row r="229">
      <c r="A229" s="4"/>
      <c r="B229" s="4"/>
      <c r="C229" s="32"/>
      <c r="D229" s="32"/>
      <c r="E229" s="34"/>
      <c r="F229" s="24"/>
    </row>
    <row r="230">
      <c r="A230" s="4"/>
      <c r="B230" s="4"/>
      <c r="C230" s="32"/>
      <c r="D230" s="32"/>
      <c r="E230" s="34"/>
      <c r="F230" s="24"/>
    </row>
    <row r="231">
      <c r="A231" s="4"/>
      <c r="B231" s="4"/>
      <c r="C231" s="32"/>
      <c r="D231" s="32"/>
      <c r="E231" s="34"/>
      <c r="F231" s="24"/>
    </row>
    <row r="232">
      <c r="A232" s="4"/>
      <c r="B232" s="4"/>
      <c r="C232" s="32"/>
      <c r="D232" s="32"/>
      <c r="E232" s="34"/>
      <c r="F232" s="24"/>
    </row>
    <row r="233">
      <c r="A233" s="4"/>
      <c r="B233" s="4"/>
      <c r="C233" s="32"/>
      <c r="D233" s="32"/>
      <c r="E233" s="34"/>
      <c r="F233" s="24"/>
    </row>
    <row r="234">
      <c r="A234" s="4"/>
      <c r="B234" s="4"/>
      <c r="C234" s="32"/>
      <c r="D234" s="32"/>
      <c r="E234" s="34"/>
      <c r="F234" s="24"/>
    </row>
    <row r="235">
      <c r="A235" s="4"/>
      <c r="B235" s="4"/>
      <c r="C235" s="32"/>
      <c r="D235" s="32"/>
      <c r="E235" s="34"/>
      <c r="F235" s="24"/>
    </row>
    <row r="236">
      <c r="A236" s="4"/>
      <c r="B236" s="4"/>
      <c r="C236" s="32"/>
      <c r="D236" s="32"/>
      <c r="E236" s="34"/>
      <c r="F236" s="24"/>
    </row>
    <row r="237">
      <c r="A237" s="4"/>
      <c r="B237" s="4"/>
      <c r="C237" s="32"/>
      <c r="D237" s="32"/>
      <c r="E237" s="34"/>
      <c r="F237" s="24"/>
    </row>
    <row r="238">
      <c r="A238" s="4"/>
      <c r="B238" s="4"/>
      <c r="C238" s="32"/>
      <c r="D238" s="32"/>
      <c r="E238" s="34"/>
      <c r="F238" s="24"/>
    </row>
    <row r="239">
      <c r="A239" s="4"/>
      <c r="B239" s="4"/>
      <c r="C239" s="32"/>
      <c r="D239" s="32"/>
      <c r="E239" s="34"/>
      <c r="F239" s="24"/>
    </row>
    <row r="240">
      <c r="A240" s="4"/>
      <c r="B240" s="4"/>
      <c r="C240" s="32"/>
      <c r="D240" s="32"/>
      <c r="E240" s="34"/>
      <c r="F240" s="24"/>
    </row>
    <row r="241">
      <c r="A241" s="4"/>
      <c r="B241" s="4"/>
      <c r="C241" s="32"/>
      <c r="D241" s="32"/>
      <c r="E241" s="34"/>
      <c r="F241" s="24"/>
    </row>
    <row r="242">
      <c r="A242" s="4"/>
      <c r="B242" s="4"/>
      <c r="C242" s="32"/>
      <c r="D242" s="32"/>
      <c r="E242" s="34"/>
      <c r="F242" s="24"/>
    </row>
    <row r="243">
      <c r="A243" s="4"/>
      <c r="B243" s="4"/>
      <c r="C243" s="32"/>
      <c r="D243" s="32"/>
      <c r="E243" s="34"/>
      <c r="F243" s="24"/>
    </row>
    <row r="244">
      <c r="A244" s="4"/>
      <c r="B244" s="4"/>
      <c r="C244" s="32"/>
      <c r="D244" s="32"/>
      <c r="E244" s="34"/>
      <c r="F244" s="24"/>
    </row>
    <row r="245">
      <c r="A245" s="4"/>
      <c r="B245" s="4"/>
      <c r="C245" s="32"/>
      <c r="D245" s="32"/>
      <c r="E245" s="34"/>
      <c r="F245" s="24"/>
    </row>
    <row r="246">
      <c r="A246" s="4"/>
      <c r="B246" s="4"/>
      <c r="C246" s="32"/>
      <c r="D246" s="32"/>
      <c r="E246" s="34"/>
      <c r="F246" s="24"/>
    </row>
    <row r="247">
      <c r="A247" s="4"/>
      <c r="B247" s="4"/>
      <c r="C247" s="32"/>
      <c r="D247" s="32"/>
      <c r="E247" s="34"/>
      <c r="F247" s="24"/>
    </row>
    <row r="248">
      <c r="A248" s="4"/>
      <c r="B248" s="4"/>
      <c r="C248" s="32"/>
      <c r="D248" s="32"/>
      <c r="E248" s="34"/>
      <c r="F248" s="24"/>
    </row>
    <row r="249">
      <c r="A249" s="4"/>
      <c r="B249" s="4"/>
      <c r="C249" s="32"/>
      <c r="D249" s="32"/>
      <c r="E249" s="34"/>
      <c r="F249" s="24"/>
    </row>
    <row r="250">
      <c r="A250" s="4"/>
      <c r="B250" s="4"/>
      <c r="C250" s="32"/>
      <c r="D250" s="32"/>
      <c r="E250" s="34"/>
      <c r="F250" s="24"/>
    </row>
    <row r="251">
      <c r="A251" s="4"/>
      <c r="B251" s="4"/>
      <c r="C251" s="32"/>
      <c r="D251" s="32"/>
      <c r="E251" s="34"/>
      <c r="F251" s="24"/>
    </row>
    <row r="252">
      <c r="A252" s="4"/>
      <c r="B252" s="4"/>
      <c r="C252" s="32"/>
      <c r="D252" s="32"/>
      <c r="E252" s="34"/>
      <c r="F252" s="24"/>
    </row>
    <row r="253">
      <c r="A253" s="4"/>
      <c r="B253" s="4"/>
      <c r="C253" s="32"/>
      <c r="D253" s="32"/>
      <c r="E253" s="34"/>
      <c r="F253" s="24"/>
    </row>
    <row r="254">
      <c r="A254" s="4"/>
      <c r="B254" s="4"/>
      <c r="C254" s="32"/>
      <c r="D254" s="32"/>
      <c r="E254" s="34"/>
      <c r="F254" s="24"/>
    </row>
    <row r="255">
      <c r="A255" s="4"/>
      <c r="B255" s="4"/>
      <c r="C255" s="32"/>
      <c r="D255" s="32"/>
      <c r="E255" s="34"/>
      <c r="F255" s="24"/>
    </row>
    <row r="256">
      <c r="A256" s="4"/>
      <c r="B256" s="4"/>
      <c r="C256" s="32"/>
      <c r="D256" s="32"/>
      <c r="E256" s="34"/>
      <c r="F256" s="24"/>
    </row>
    <row r="257">
      <c r="A257" s="4"/>
      <c r="B257" s="4"/>
      <c r="C257" s="32"/>
      <c r="D257" s="32"/>
      <c r="E257" s="34"/>
      <c r="F257" s="24"/>
    </row>
    <row r="258">
      <c r="A258" s="4"/>
      <c r="B258" s="4"/>
      <c r="C258" s="32"/>
      <c r="D258" s="32"/>
      <c r="E258" s="34"/>
      <c r="F258" s="24"/>
    </row>
    <row r="259">
      <c r="A259" s="4"/>
      <c r="B259" s="4"/>
      <c r="C259" s="32"/>
      <c r="D259" s="32"/>
      <c r="E259" s="34"/>
      <c r="F259" s="24"/>
    </row>
    <row r="260">
      <c r="A260" s="4"/>
      <c r="B260" s="4"/>
      <c r="C260" s="32"/>
      <c r="D260" s="32"/>
      <c r="E260" s="34"/>
      <c r="F260" s="24"/>
    </row>
    <row r="261">
      <c r="A261" s="4"/>
      <c r="B261" s="4"/>
      <c r="C261" s="32"/>
      <c r="D261" s="32"/>
      <c r="E261" s="34"/>
      <c r="F261" s="24"/>
    </row>
    <row r="262">
      <c r="A262" s="4"/>
      <c r="B262" s="4"/>
      <c r="C262" s="32"/>
      <c r="D262" s="32"/>
      <c r="E262" s="34"/>
      <c r="F262" s="24"/>
    </row>
    <row r="263">
      <c r="A263" s="4"/>
      <c r="B263" s="4"/>
      <c r="C263" s="32"/>
      <c r="D263" s="32"/>
      <c r="E263" s="34"/>
      <c r="F263" s="24"/>
    </row>
    <row r="264">
      <c r="A264" s="4"/>
      <c r="B264" s="4"/>
      <c r="C264" s="32"/>
      <c r="D264" s="32"/>
      <c r="E264" s="34"/>
      <c r="F264" s="24"/>
    </row>
    <row r="265">
      <c r="A265" s="4"/>
      <c r="B265" s="4"/>
      <c r="C265" s="32"/>
      <c r="D265" s="32"/>
      <c r="E265" s="34"/>
      <c r="F265" s="24"/>
    </row>
    <row r="266">
      <c r="A266" s="4"/>
      <c r="B266" s="4"/>
      <c r="C266" s="32"/>
      <c r="D266" s="32"/>
      <c r="E266" s="34"/>
      <c r="F266" s="24"/>
    </row>
    <row r="267">
      <c r="A267" s="4"/>
      <c r="B267" s="4"/>
      <c r="C267" s="32"/>
      <c r="D267" s="32"/>
      <c r="E267" s="34"/>
      <c r="F267" s="24"/>
    </row>
    <row r="268">
      <c r="A268" s="4"/>
      <c r="B268" s="4"/>
      <c r="C268" s="32"/>
      <c r="D268" s="32"/>
      <c r="E268" s="34"/>
      <c r="F268" s="24"/>
    </row>
    <row r="269">
      <c r="A269" s="4"/>
      <c r="B269" s="4"/>
      <c r="C269" s="32"/>
      <c r="D269" s="32"/>
      <c r="E269" s="34"/>
      <c r="F269" s="24"/>
    </row>
    <row r="270">
      <c r="A270" s="4"/>
      <c r="B270" s="4"/>
      <c r="C270" s="32"/>
      <c r="D270" s="32"/>
      <c r="E270" s="34"/>
      <c r="F270" s="24"/>
    </row>
    <row r="271">
      <c r="A271" s="4"/>
      <c r="B271" s="4"/>
      <c r="C271" s="32"/>
      <c r="D271" s="32"/>
      <c r="E271" s="34"/>
      <c r="F271" s="24"/>
    </row>
    <row r="272">
      <c r="A272" s="4"/>
      <c r="B272" s="4"/>
      <c r="C272" s="32"/>
      <c r="D272" s="32"/>
      <c r="E272" s="34"/>
      <c r="F272" s="24"/>
    </row>
    <row r="273">
      <c r="A273" s="4"/>
      <c r="B273" s="4"/>
      <c r="C273" s="32"/>
      <c r="D273" s="32"/>
      <c r="E273" s="34"/>
      <c r="F273" s="24"/>
    </row>
    <row r="274">
      <c r="A274" s="4"/>
      <c r="B274" s="4"/>
      <c r="C274" s="32"/>
      <c r="D274" s="32"/>
      <c r="E274" s="34"/>
      <c r="F274" s="24"/>
    </row>
    <row r="275">
      <c r="A275" s="4"/>
      <c r="B275" s="4"/>
      <c r="C275" s="32"/>
      <c r="D275" s="32"/>
      <c r="E275" s="34"/>
      <c r="F275" s="24"/>
    </row>
    <row r="276">
      <c r="A276" s="4"/>
      <c r="B276" s="4"/>
      <c r="C276" s="32"/>
      <c r="D276" s="32"/>
      <c r="E276" s="34"/>
      <c r="F276" s="24"/>
    </row>
    <row r="277">
      <c r="A277" s="4"/>
      <c r="B277" s="4"/>
      <c r="C277" s="32"/>
      <c r="D277" s="32"/>
      <c r="E277" s="34"/>
      <c r="F277" s="24"/>
    </row>
    <row r="278">
      <c r="A278" s="4"/>
      <c r="B278" s="4"/>
      <c r="C278" s="32"/>
      <c r="D278" s="32"/>
      <c r="E278" s="34"/>
      <c r="F278" s="24"/>
    </row>
    <row r="279">
      <c r="A279" s="4"/>
      <c r="B279" s="4"/>
      <c r="C279" s="32"/>
      <c r="D279" s="32"/>
      <c r="E279" s="34"/>
      <c r="F279" s="24"/>
    </row>
    <row r="280">
      <c r="A280" s="4"/>
      <c r="B280" s="4"/>
      <c r="C280" s="32"/>
      <c r="D280" s="32"/>
      <c r="E280" s="34"/>
      <c r="F280" s="24"/>
    </row>
    <row r="281">
      <c r="A281" s="4"/>
      <c r="B281" s="4"/>
      <c r="C281" s="32"/>
      <c r="D281" s="32"/>
      <c r="E281" s="34"/>
      <c r="F281" s="24"/>
    </row>
    <row r="282">
      <c r="A282" s="4"/>
      <c r="B282" s="4"/>
      <c r="C282" s="32"/>
      <c r="D282" s="32"/>
      <c r="E282" s="34"/>
      <c r="F282" s="24"/>
    </row>
    <row r="283">
      <c r="A283" s="4"/>
      <c r="B283" s="4"/>
      <c r="C283" s="32"/>
      <c r="D283" s="32"/>
      <c r="E283" s="34"/>
      <c r="F283" s="24"/>
    </row>
    <row r="284">
      <c r="A284" s="4"/>
      <c r="B284" s="4"/>
      <c r="C284" s="32"/>
      <c r="D284" s="32"/>
      <c r="E284" s="34"/>
      <c r="F284" s="24"/>
    </row>
    <row r="285">
      <c r="A285" s="4"/>
      <c r="B285" s="4"/>
      <c r="C285" s="32"/>
      <c r="D285" s="32"/>
      <c r="E285" s="34"/>
      <c r="F285" s="24"/>
    </row>
    <row r="286">
      <c r="A286" s="4"/>
      <c r="B286" s="4"/>
      <c r="C286" s="32"/>
      <c r="D286" s="32"/>
      <c r="E286" s="34"/>
      <c r="F286" s="24"/>
    </row>
    <row r="287">
      <c r="A287" s="4"/>
      <c r="B287" s="4"/>
      <c r="C287" s="32"/>
      <c r="D287" s="32"/>
      <c r="E287" s="34"/>
      <c r="F287" s="24"/>
    </row>
    <row r="288">
      <c r="A288" s="4"/>
      <c r="B288" s="4"/>
      <c r="C288" s="32"/>
      <c r="D288" s="32"/>
      <c r="E288" s="34"/>
      <c r="F288" s="24"/>
    </row>
    <row r="289">
      <c r="A289" s="4"/>
      <c r="B289" s="4"/>
      <c r="C289" s="32"/>
      <c r="D289" s="32"/>
      <c r="E289" s="34"/>
      <c r="F289" s="24"/>
    </row>
    <row r="290">
      <c r="A290" s="4"/>
      <c r="B290" s="4"/>
      <c r="C290" s="32"/>
      <c r="D290" s="32"/>
      <c r="E290" s="34"/>
      <c r="F290" s="24"/>
    </row>
    <row r="291">
      <c r="A291" s="4"/>
      <c r="B291" s="4"/>
      <c r="C291" s="32"/>
      <c r="D291" s="32"/>
      <c r="E291" s="34"/>
      <c r="F291" s="24"/>
    </row>
    <row r="292">
      <c r="A292" s="4"/>
      <c r="B292" s="4"/>
      <c r="C292" s="32"/>
      <c r="D292" s="32"/>
      <c r="E292" s="34"/>
      <c r="F292" s="24"/>
    </row>
    <row r="293">
      <c r="A293" s="4"/>
      <c r="B293" s="4"/>
      <c r="C293" s="32"/>
      <c r="D293" s="32"/>
      <c r="E293" s="34"/>
      <c r="F293" s="24"/>
    </row>
    <row r="294">
      <c r="A294" s="4"/>
      <c r="B294" s="4"/>
      <c r="C294" s="32"/>
      <c r="D294" s="32"/>
      <c r="E294" s="34"/>
      <c r="F294" s="24"/>
    </row>
    <row r="295">
      <c r="A295" s="4"/>
      <c r="B295" s="4"/>
      <c r="C295" s="32"/>
      <c r="D295" s="32"/>
      <c r="E295" s="34"/>
      <c r="F295" s="24"/>
    </row>
    <row r="296">
      <c r="A296" s="4"/>
      <c r="B296" s="4"/>
      <c r="C296" s="32"/>
      <c r="D296" s="32"/>
      <c r="E296" s="34"/>
      <c r="F296" s="24"/>
    </row>
    <row r="297">
      <c r="A297" s="4"/>
      <c r="B297" s="4"/>
      <c r="C297" s="32"/>
      <c r="D297" s="32"/>
      <c r="E297" s="34"/>
      <c r="F297" s="24"/>
    </row>
    <row r="298">
      <c r="A298" s="4"/>
      <c r="B298" s="4"/>
      <c r="C298" s="32"/>
      <c r="D298" s="32"/>
      <c r="E298" s="34"/>
      <c r="F298" s="24"/>
    </row>
    <row r="299">
      <c r="A299" s="4"/>
      <c r="B299" s="4"/>
      <c r="C299" s="32"/>
      <c r="D299" s="32"/>
      <c r="E299" s="34"/>
      <c r="F299" s="24"/>
    </row>
    <row r="300">
      <c r="A300" s="4"/>
      <c r="B300" s="4"/>
      <c r="C300" s="32"/>
      <c r="D300" s="32"/>
      <c r="E300" s="34"/>
      <c r="F300" s="24"/>
    </row>
    <row r="301">
      <c r="A301" s="4"/>
      <c r="B301" s="4"/>
      <c r="C301" s="32"/>
      <c r="D301" s="32"/>
      <c r="E301" s="34"/>
      <c r="F301" s="24"/>
    </row>
    <row r="302">
      <c r="A302" s="4"/>
      <c r="B302" s="4"/>
      <c r="C302" s="32"/>
      <c r="D302" s="32"/>
      <c r="E302" s="34"/>
      <c r="F302" s="24"/>
    </row>
    <row r="303">
      <c r="A303" s="4"/>
      <c r="B303" s="4"/>
      <c r="C303" s="32"/>
      <c r="D303" s="32"/>
      <c r="E303" s="34"/>
      <c r="F303" s="24"/>
    </row>
    <row r="304">
      <c r="A304" s="4"/>
      <c r="B304" s="4"/>
      <c r="C304" s="32"/>
      <c r="D304" s="32"/>
      <c r="E304" s="34"/>
      <c r="F304" s="24"/>
    </row>
    <row r="305">
      <c r="A305" s="4"/>
      <c r="B305" s="4"/>
      <c r="C305" s="32"/>
      <c r="D305" s="32"/>
      <c r="E305" s="34"/>
      <c r="F305" s="24"/>
    </row>
    <row r="306">
      <c r="A306" s="4"/>
      <c r="B306" s="4"/>
      <c r="C306" s="32"/>
      <c r="D306" s="32"/>
      <c r="E306" s="34"/>
      <c r="F306" s="24"/>
    </row>
    <row r="307">
      <c r="A307" s="4"/>
      <c r="B307" s="4"/>
      <c r="C307" s="32"/>
      <c r="D307" s="32"/>
      <c r="E307" s="34"/>
      <c r="F307" s="24"/>
    </row>
    <row r="308">
      <c r="A308" s="4"/>
      <c r="B308" s="4"/>
      <c r="C308" s="32"/>
      <c r="D308" s="32"/>
      <c r="E308" s="34"/>
      <c r="F308" s="24"/>
    </row>
    <row r="309">
      <c r="A309" s="4"/>
      <c r="B309" s="4"/>
      <c r="C309" s="32"/>
      <c r="D309" s="32"/>
      <c r="E309" s="34"/>
      <c r="F309" s="24"/>
    </row>
    <row r="310">
      <c r="A310" s="4"/>
      <c r="B310" s="4"/>
      <c r="C310" s="32"/>
      <c r="D310" s="32"/>
      <c r="E310" s="34"/>
      <c r="F310" s="24"/>
    </row>
    <row r="311">
      <c r="A311" s="4"/>
      <c r="B311" s="4"/>
      <c r="C311" s="32"/>
      <c r="D311" s="32"/>
      <c r="E311" s="34"/>
      <c r="F311" s="24"/>
    </row>
    <row r="312">
      <c r="A312" s="4"/>
      <c r="B312" s="4"/>
      <c r="C312" s="32"/>
      <c r="D312" s="32"/>
      <c r="E312" s="34"/>
      <c r="F312" s="24"/>
    </row>
    <row r="313">
      <c r="A313" s="4"/>
      <c r="B313" s="4"/>
      <c r="C313" s="32"/>
      <c r="D313" s="32"/>
      <c r="E313" s="34"/>
      <c r="F313" s="24"/>
    </row>
    <row r="314">
      <c r="A314" s="4"/>
      <c r="B314" s="4"/>
      <c r="C314" s="32"/>
      <c r="D314" s="32"/>
      <c r="E314" s="34"/>
      <c r="F314" s="24"/>
    </row>
    <row r="315">
      <c r="A315" s="4"/>
      <c r="B315" s="4"/>
      <c r="C315" s="32"/>
      <c r="D315" s="32"/>
      <c r="E315" s="34"/>
      <c r="F315" s="24"/>
    </row>
    <row r="316">
      <c r="A316" s="4"/>
      <c r="B316" s="4"/>
      <c r="C316" s="32"/>
      <c r="D316" s="32"/>
      <c r="E316" s="34"/>
      <c r="F316" s="24"/>
    </row>
    <row r="317">
      <c r="A317" s="4"/>
      <c r="B317" s="4"/>
      <c r="C317" s="32"/>
      <c r="D317" s="32"/>
      <c r="E317" s="34"/>
      <c r="F317" s="24"/>
    </row>
    <row r="318">
      <c r="A318" s="4"/>
      <c r="B318" s="4"/>
      <c r="C318" s="32"/>
      <c r="D318" s="32"/>
      <c r="E318" s="34"/>
      <c r="F318" s="24"/>
    </row>
    <row r="319">
      <c r="A319" s="4"/>
      <c r="B319" s="4"/>
      <c r="C319" s="32"/>
      <c r="D319" s="32"/>
      <c r="E319" s="34"/>
      <c r="F319" s="24"/>
    </row>
    <row r="320">
      <c r="A320" s="4"/>
      <c r="B320" s="4"/>
      <c r="C320" s="32"/>
      <c r="D320" s="32"/>
      <c r="E320" s="34"/>
      <c r="F320" s="24"/>
    </row>
    <row r="321">
      <c r="A321" s="4"/>
      <c r="B321" s="4"/>
      <c r="C321" s="32"/>
      <c r="D321" s="32"/>
      <c r="E321" s="34"/>
      <c r="F321" s="24"/>
    </row>
    <row r="322">
      <c r="A322" s="4"/>
      <c r="B322" s="4"/>
      <c r="C322" s="32"/>
      <c r="D322" s="32"/>
      <c r="E322" s="34"/>
      <c r="F322" s="24"/>
    </row>
    <row r="323">
      <c r="A323" s="4"/>
      <c r="B323" s="4"/>
      <c r="C323" s="32"/>
      <c r="D323" s="32"/>
      <c r="E323" s="34"/>
      <c r="F323" s="24"/>
    </row>
    <row r="324">
      <c r="A324" s="4"/>
      <c r="B324" s="4"/>
      <c r="C324" s="32"/>
      <c r="D324" s="32"/>
      <c r="E324" s="34"/>
      <c r="F324" s="24"/>
    </row>
    <row r="325">
      <c r="A325" s="4"/>
      <c r="B325" s="4"/>
      <c r="C325" s="32"/>
      <c r="D325" s="32"/>
      <c r="E325" s="34"/>
      <c r="F325" s="24"/>
    </row>
    <row r="326">
      <c r="A326" s="4"/>
      <c r="B326" s="4"/>
      <c r="C326" s="32"/>
      <c r="D326" s="32"/>
      <c r="E326" s="34"/>
      <c r="F326" s="24"/>
    </row>
    <row r="327">
      <c r="A327" s="4"/>
      <c r="B327" s="4"/>
      <c r="C327" s="32"/>
      <c r="D327" s="32"/>
      <c r="E327" s="34"/>
      <c r="F327" s="24"/>
    </row>
    <row r="328">
      <c r="A328" s="4"/>
      <c r="B328" s="4"/>
      <c r="C328" s="32"/>
      <c r="D328" s="32"/>
      <c r="E328" s="34"/>
      <c r="F328" s="24"/>
    </row>
    <row r="329">
      <c r="A329" s="4"/>
      <c r="B329" s="4"/>
      <c r="C329" s="32"/>
      <c r="D329" s="32"/>
      <c r="E329" s="34"/>
      <c r="F329" s="24"/>
    </row>
    <row r="330">
      <c r="A330" s="4"/>
      <c r="B330" s="4"/>
      <c r="C330" s="32"/>
      <c r="D330" s="32"/>
      <c r="E330" s="34"/>
      <c r="F330" s="24"/>
    </row>
    <row r="331">
      <c r="A331" s="4"/>
      <c r="B331" s="4"/>
      <c r="C331" s="32"/>
      <c r="D331" s="32"/>
      <c r="E331" s="34"/>
      <c r="F331" s="24"/>
    </row>
    <row r="332">
      <c r="A332" s="4"/>
      <c r="B332" s="4"/>
      <c r="C332" s="32"/>
      <c r="D332" s="32"/>
      <c r="E332" s="34"/>
      <c r="F332" s="24"/>
    </row>
    <row r="333">
      <c r="A333" s="4"/>
      <c r="B333" s="4"/>
      <c r="C333" s="32"/>
      <c r="D333" s="32"/>
      <c r="E333" s="34"/>
      <c r="F333" s="24"/>
    </row>
    <row r="334">
      <c r="A334" s="4"/>
      <c r="B334" s="4"/>
      <c r="C334" s="32"/>
      <c r="D334" s="32"/>
      <c r="E334" s="34"/>
      <c r="F334" s="24"/>
    </row>
    <row r="335">
      <c r="A335" s="4"/>
      <c r="B335" s="4"/>
      <c r="C335" s="32"/>
      <c r="D335" s="32"/>
      <c r="E335" s="34"/>
      <c r="F335" s="24"/>
    </row>
    <row r="336">
      <c r="A336" s="4"/>
      <c r="B336" s="4"/>
      <c r="C336" s="32"/>
      <c r="D336" s="32"/>
      <c r="E336" s="34"/>
      <c r="F336" s="24"/>
    </row>
    <row r="337">
      <c r="A337" s="4"/>
      <c r="B337" s="4"/>
      <c r="C337" s="32"/>
      <c r="D337" s="32"/>
      <c r="E337" s="34"/>
      <c r="F337" s="24"/>
    </row>
    <row r="338">
      <c r="A338" s="4"/>
      <c r="B338" s="4"/>
      <c r="C338" s="32"/>
      <c r="D338" s="32"/>
      <c r="E338" s="34"/>
      <c r="F338" s="24"/>
    </row>
    <row r="339">
      <c r="A339" s="4"/>
      <c r="B339" s="4"/>
      <c r="C339" s="32"/>
      <c r="D339" s="32"/>
      <c r="E339" s="34"/>
      <c r="F339" s="24"/>
    </row>
    <row r="340">
      <c r="A340" s="4"/>
      <c r="B340" s="4"/>
      <c r="C340" s="32"/>
      <c r="D340" s="32"/>
      <c r="E340" s="34"/>
      <c r="F340" s="24"/>
    </row>
    <row r="341">
      <c r="A341" s="4"/>
      <c r="B341" s="4"/>
      <c r="C341" s="32"/>
      <c r="D341" s="32"/>
      <c r="E341" s="34"/>
      <c r="F341" s="24"/>
    </row>
    <row r="342">
      <c r="A342" s="4"/>
      <c r="B342" s="4"/>
      <c r="C342" s="32"/>
      <c r="D342" s="32"/>
      <c r="E342" s="34"/>
      <c r="F342" s="24"/>
    </row>
    <row r="343">
      <c r="A343" s="4"/>
      <c r="B343" s="4"/>
      <c r="C343" s="32"/>
      <c r="D343" s="32"/>
      <c r="E343" s="34"/>
      <c r="F343" s="24"/>
    </row>
    <row r="344">
      <c r="A344" s="4"/>
      <c r="B344" s="4"/>
      <c r="C344" s="32"/>
      <c r="D344" s="32"/>
      <c r="E344" s="34"/>
      <c r="F344" s="24"/>
    </row>
    <row r="345">
      <c r="A345" s="4"/>
      <c r="B345" s="4"/>
      <c r="C345" s="32"/>
      <c r="D345" s="32"/>
      <c r="E345" s="34"/>
      <c r="F345" s="24"/>
    </row>
    <row r="346">
      <c r="A346" s="4"/>
      <c r="B346" s="4"/>
      <c r="C346" s="32"/>
      <c r="D346" s="32"/>
      <c r="E346" s="34"/>
      <c r="F346" s="24"/>
    </row>
    <row r="347">
      <c r="A347" s="4"/>
      <c r="B347" s="4"/>
      <c r="C347" s="32"/>
      <c r="D347" s="32"/>
      <c r="E347" s="34"/>
      <c r="F347" s="24"/>
    </row>
    <row r="348">
      <c r="A348" s="4"/>
      <c r="B348" s="4"/>
      <c r="C348" s="32"/>
      <c r="D348" s="32"/>
      <c r="E348" s="34"/>
      <c r="F348" s="24"/>
    </row>
    <row r="349">
      <c r="A349" s="4"/>
      <c r="B349" s="4"/>
      <c r="C349" s="32"/>
      <c r="D349" s="32"/>
      <c r="E349" s="34"/>
      <c r="F349" s="24"/>
    </row>
    <row r="350">
      <c r="A350" s="4"/>
      <c r="B350" s="4"/>
      <c r="C350" s="32"/>
      <c r="D350" s="32"/>
      <c r="E350" s="34"/>
      <c r="F350" s="24"/>
    </row>
    <row r="351">
      <c r="A351" s="4"/>
      <c r="B351" s="4"/>
      <c r="C351" s="32"/>
      <c r="D351" s="32"/>
      <c r="E351" s="34"/>
      <c r="F351" s="24"/>
    </row>
    <row r="352">
      <c r="A352" s="4"/>
      <c r="B352" s="4"/>
      <c r="C352" s="32"/>
      <c r="D352" s="32"/>
      <c r="E352" s="34"/>
      <c r="F352" s="24"/>
    </row>
    <row r="353">
      <c r="A353" s="4"/>
      <c r="B353" s="4"/>
      <c r="C353" s="32"/>
      <c r="D353" s="32"/>
      <c r="E353" s="34"/>
      <c r="F353" s="24"/>
    </row>
    <row r="354">
      <c r="A354" s="4"/>
      <c r="B354" s="4"/>
      <c r="C354" s="32"/>
      <c r="D354" s="32"/>
      <c r="E354" s="34"/>
      <c r="F354" s="24"/>
    </row>
    <row r="355">
      <c r="A355" s="4"/>
      <c r="B355" s="4"/>
      <c r="C355" s="32"/>
      <c r="D355" s="32"/>
      <c r="E355" s="34"/>
      <c r="F355" s="24"/>
    </row>
    <row r="356">
      <c r="A356" s="4"/>
      <c r="B356" s="4"/>
      <c r="C356" s="32"/>
      <c r="D356" s="32"/>
      <c r="E356" s="34"/>
      <c r="F356" s="24"/>
    </row>
    <row r="357">
      <c r="A357" s="4"/>
      <c r="B357" s="4"/>
      <c r="C357" s="32"/>
      <c r="D357" s="32"/>
      <c r="E357" s="34"/>
      <c r="F357" s="24"/>
    </row>
    <row r="358">
      <c r="A358" s="4"/>
      <c r="B358" s="4"/>
      <c r="C358" s="32"/>
      <c r="D358" s="32"/>
      <c r="E358" s="34"/>
      <c r="F358" s="24"/>
    </row>
    <row r="359">
      <c r="A359" s="4"/>
      <c r="B359" s="4"/>
      <c r="C359" s="32"/>
      <c r="D359" s="32"/>
      <c r="E359" s="34"/>
      <c r="F359" s="24"/>
    </row>
    <row r="360">
      <c r="A360" s="4"/>
      <c r="B360" s="4"/>
      <c r="C360" s="32"/>
      <c r="D360" s="32"/>
      <c r="E360" s="34"/>
      <c r="F360" s="24"/>
    </row>
    <row r="361">
      <c r="A361" s="4"/>
      <c r="B361" s="4"/>
      <c r="C361" s="32"/>
      <c r="D361" s="32"/>
      <c r="E361" s="34"/>
      <c r="F361" s="24"/>
    </row>
    <row r="362">
      <c r="A362" s="4"/>
      <c r="B362" s="4"/>
      <c r="C362" s="32"/>
      <c r="D362" s="32"/>
      <c r="E362" s="34"/>
      <c r="F362" s="24"/>
    </row>
    <row r="363">
      <c r="A363" s="4"/>
      <c r="B363" s="4"/>
      <c r="C363" s="32"/>
      <c r="D363" s="32"/>
      <c r="E363" s="34"/>
      <c r="F363" s="24"/>
    </row>
    <row r="364">
      <c r="A364" s="4"/>
      <c r="B364" s="4"/>
      <c r="C364" s="32"/>
      <c r="D364" s="32"/>
      <c r="E364" s="34"/>
      <c r="F364" s="24"/>
    </row>
    <row r="365">
      <c r="A365" s="4"/>
      <c r="B365" s="4"/>
      <c r="C365" s="32"/>
      <c r="D365" s="32"/>
      <c r="E365" s="34"/>
      <c r="F365" s="24"/>
    </row>
    <row r="366">
      <c r="A366" s="4"/>
      <c r="B366" s="4"/>
      <c r="C366" s="32"/>
      <c r="D366" s="32"/>
      <c r="E366" s="34"/>
      <c r="F366" s="24"/>
    </row>
    <row r="367">
      <c r="A367" s="4"/>
      <c r="B367" s="4"/>
      <c r="C367" s="32"/>
      <c r="D367" s="32"/>
      <c r="E367" s="34"/>
      <c r="F367" s="24"/>
    </row>
    <row r="368">
      <c r="A368" s="4"/>
      <c r="B368" s="4"/>
      <c r="C368" s="32"/>
      <c r="D368" s="32"/>
      <c r="E368" s="34"/>
      <c r="F368" s="24"/>
    </row>
    <row r="369">
      <c r="A369" s="4"/>
      <c r="B369" s="4"/>
      <c r="C369" s="32"/>
      <c r="D369" s="32"/>
      <c r="E369" s="34"/>
      <c r="F369" s="24"/>
    </row>
    <row r="370">
      <c r="A370" s="4"/>
      <c r="B370" s="4"/>
      <c r="C370" s="32"/>
      <c r="D370" s="32"/>
      <c r="E370" s="34"/>
      <c r="F370" s="24"/>
    </row>
    <row r="371">
      <c r="A371" s="4"/>
      <c r="B371" s="4"/>
      <c r="C371" s="32"/>
      <c r="D371" s="32"/>
      <c r="E371" s="34"/>
      <c r="F371" s="24"/>
    </row>
    <row r="372">
      <c r="A372" s="4"/>
      <c r="B372" s="4"/>
      <c r="C372" s="32"/>
      <c r="D372" s="32"/>
      <c r="E372" s="34"/>
      <c r="F372" s="24"/>
    </row>
    <row r="373">
      <c r="A373" s="4"/>
      <c r="B373" s="4"/>
      <c r="C373" s="32"/>
      <c r="D373" s="32"/>
      <c r="E373" s="34"/>
      <c r="F373" s="24"/>
    </row>
    <row r="374">
      <c r="A374" s="4"/>
      <c r="B374" s="4"/>
      <c r="C374" s="32"/>
      <c r="D374" s="32"/>
      <c r="E374" s="34"/>
      <c r="F374" s="24"/>
    </row>
    <row r="375">
      <c r="A375" s="4"/>
      <c r="B375" s="4"/>
      <c r="C375" s="32"/>
      <c r="D375" s="32"/>
      <c r="E375" s="34"/>
      <c r="F375" s="24"/>
    </row>
    <row r="376">
      <c r="A376" s="4"/>
      <c r="B376" s="4"/>
      <c r="C376" s="32"/>
      <c r="D376" s="32"/>
      <c r="E376" s="34"/>
      <c r="F376" s="24"/>
    </row>
    <row r="377">
      <c r="A377" s="4"/>
      <c r="B377" s="4"/>
      <c r="C377" s="32"/>
      <c r="D377" s="32"/>
      <c r="E377" s="34"/>
      <c r="F377" s="24"/>
    </row>
    <row r="378">
      <c r="A378" s="4"/>
      <c r="B378" s="4"/>
      <c r="C378" s="32"/>
      <c r="D378" s="32"/>
      <c r="E378" s="34"/>
      <c r="F378" s="24"/>
    </row>
    <row r="379">
      <c r="A379" s="4"/>
      <c r="B379" s="4"/>
      <c r="C379" s="32"/>
      <c r="D379" s="32"/>
      <c r="E379" s="34"/>
      <c r="F379" s="24"/>
    </row>
    <row r="380">
      <c r="A380" s="4"/>
      <c r="B380" s="4"/>
      <c r="C380" s="32"/>
      <c r="D380" s="32"/>
      <c r="E380" s="34"/>
      <c r="F380" s="24"/>
    </row>
    <row r="381">
      <c r="A381" s="4"/>
      <c r="B381" s="4"/>
      <c r="C381" s="32"/>
      <c r="D381" s="32"/>
      <c r="E381" s="34"/>
      <c r="F381" s="24"/>
    </row>
    <row r="382">
      <c r="A382" s="4"/>
      <c r="B382" s="4"/>
      <c r="C382" s="32"/>
      <c r="D382" s="32"/>
      <c r="E382" s="34"/>
      <c r="F382" s="24"/>
    </row>
    <row r="383">
      <c r="A383" s="4"/>
      <c r="B383" s="4"/>
      <c r="C383" s="32"/>
      <c r="D383" s="32"/>
      <c r="E383" s="34"/>
      <c r="F383" s="24"/>
    </row>
    <row r="384">
      <c r="A384" s="4"/>
      <c r="B384" s="4"/>
      <c r="C384" s="32"/>
      <c r="D384" s="32"/>
      <c r="E384" s="34"/>
      <c r="F384" s="24"/>
    </row>
    <row r="385">
      <c r="A385" s="4"/>
      <c r="B385" s="4"/>
      <c r="C385" s="32"/>
      <c r="D385" s="32"/>
      <c r="E385" s="34"/>
      <c r="F385" s="24"/>
    </row>
    <row r="386">
      <c r="A386" s="4"/>
      <c r="B386" s="4"/>
      <c r="C386" s="32"/>
      <c r="D386" s="32"/>
      <c r="E386" s="34"/>
      <c r="F386" s="24"/>
    </row>
    <row r="387">
      <c r="A387" s="4"/>
      <c r="B387" s="4"/>
      <c r="C387" s="32"/>
      <c r="D387" s="32"/>
      <c r="E387" s="34"/>
      <c r="F387" s="24"/>
    </row>
    <row r="388">
      <c r="A388" s="4"/>
      <c r="B388" s="4"/>
      <c r="C388" s="32"/>
      <c r="D388" s="32"/>
      <c r="E388" s="34"/>
      <c r="F388" s="24"/>
    </row>
    <row r="389">
      <c r="A389" s="4"/>
      <c r="B389" s="4"/>
      <c r="C389" s="32"/>
      <c r="D389" s="32"/>
      <c r="E389" s="34"/>
      <c r="F389" s="24"/>
    </row>
    <row r="390">
      <c r="A390" s="4"/>
      <c r="B390" s="4"/>
      <c r="C390" s="32"/>
      <c r="D390" s="32"/>
      <c r="E390" s="34"/>
      <c r="F390" s="24"/>
    </row>
    <row r="391">
      <c r="A391" s="4"/>
      <c r="B391" s="4"/>
      <c r="C391" s="32"/>
      <c r="D391" s="32"/>
      <c r="E391" s="34"/>
      <c r="F391" s="24"/>
    </row>
    <row r="392">
      <c r="A392" s="4"/>
      <c r="B392" s="4"/>
      <c r="C392" s="32"/>
      <c r="D392" s="32"/>
      <c r="E392" s="34"/>
      <c r="F392" s="24"/>
    </row>
    <row r="393">
      <c r="A393" s="4"/>
      <c r="B393" s="4"/>
      <c r="C393" s="32"/>
      <c r="D393" s="32"/>
      <c r="E393" s="34"/>
      <c r="F393" s="24"/>
    </row>
    <row r="394">
      <c r="A394" s="4"/>
      <c r="B394" s="4"/>
      <c r="C394" s="32"/>
      <c r="D394" s="32"/>
      <c r="E394" s="34"/>
      <c r="F394" s="24"/>
    </row>
    <row r="395">
      <c r="A395" s="4"/>
      <c r="B395" s="4"/>
      <c r="C395" s="32"/>
      <c r="D395" s="32"/>
      <c r="E395" s="34"/>
      <c r="F395" s="24"/>
    </row>
    <row r="396">
      <c r="A396" s="4"/>
      <c r="B396" s="4"/>
      <c r="C396" s="32"/>
      <c r="D396" s="32"/>
      <c r="E396" s="34"/>
      <c r="F396" s="24"/>
    </row>
    <row r="397">
      <c r="A397" s="4"/>
      <c r="B397" s="4"/>
      <c r="C397" s="32"/>
      <c r="D397" s="32"/>
      <c r="E397" s="34"/>
      <c r="F397" s="24"/>
    </row>
    <row r="398">
      <c r="A398" s="4"/>
      <c r="B398" s="4"/>
      <c r="C398" s="32"/>
      <c r="D398" s="32"/>
      <c r="E398" s="34"/>
      <c r="F398" s="24"/>
    </row>
    <row r="399">
      <c r="A399" s="4"/>
      <c r="B399" s="4"/>
      <c r="C399" s="32"/>
      <c r="D399" s="32"/>
      <c r="E399" s="34"/>
      <c r="F399" s="24"/>
    </row>
    <row r="400">
      <c r="A400" s="4"/>
      <c r="B400" s="4"/>
      <c r="C400" s="32"/>
      <c r="D400" s="32"/>
      <c r="E400" s="34"/>
      <c r="F400" s="24"/>
    </row>
    <row r="401">
      <c r="A401" s="4"/>
      <c r="B401" s="4"/>
      <c r="C401" s="32"/>
      <c r="D401" s="32"/>
      <c r="E401" s="34"/>
      <c r="F401" s="24"/>
    </row>
    <row r="402">
      <c r="A402" s="4"/>
      <c r="B402" s="4"/>
      <c r="C402" s="32"/>
      <c r="D402" s="32"/>
      <c r="E402" s="34"/>
      <c r="F402" s="24"/>
    </row>
    <row r="403">
      <c r="A403" s="4"/>
      <c r="B403" s="4"/>
      <c r="C403" s="32"/>
      <c r="D403" s="32"/>
      <c r="E403" s="34"/>
      <c r="F403" s="24"/>
    </row>
    <row r="404">
      <c r="A404" s="4"/>
      <c r="B404" s="4"/>
      <c r="C404" s="32"/>
      <c r="D404" s="32"/>
      <c r="E404" s="34"/>
      <c r="F404" s="24"/>
    </row>
    <row r="405">
      <c r="A405" s="4"/>
      <c r="B405" s="4"/>
      <c r="C405" s="32"/>
      <c r="D405" s="32"/>
      <c r="E405" s="34"/>
      <c r="F405" s="24"/>
    </row>
    <row r="406">
      <c r="A406" s="4"/>
      <c r="B406" s="4"/>
      <c r="C406" s="32"/>
      <c r="D406" s="32"/>
      <c r="E406" s="34"/>
      <c r="F406" s="24"/>
    </row>
    <row r="407">
      <c r="A407" s="4"/>
      <c r="B407" s="4"/>
      <c r="C407" s="32"/>
      <c r="D407" s="32"/>
      <c r="E407" s="34"/>
      <c r="F407" s="24"/>
    </row>
    <row r="408">
      <c r="A408" s="4"/>
      <c r="B408" s="4"/>
      <c r="C408" s="32"/>
      <c r="D408" s="32"/>
      <c r="E408" s="34"/>
      <c r="F408" s="24"/>
    </row>
    <row r="409">
      <c r="A409" s="4"/>
      <c r="B409" s="4"/>
      <c r="C409" s="32"/>
      <c r="D409" s="32"/>
      <c r="E409" s="34"/>
      <c r="F409" s="24"/>
    </row>
    <row r="410">
      <c r="A410" s="4"/>
      <c r="B410" s="4"/>
      <c r="C410" s="32"/>
      <c r="D410" s="32"/>
      <c r="E410" s="34"/>
      <c r="F410" s="24"/>
    </row>
    <row r="411">
      <c r="A411" s="4"/>
      <c r="B411" s="4"/>
      <c r="C411" s="32"/>
      <c r="D411" s="32"/>
      <c r="E411" s="34"/>
      <c r="F411" s="24"/>
    </row>
    <row r="412">
      <c r="A412" s="4"/>
      <c r="B412" s="4"/>
      <c r="C412" s="32"/>
      <c r="D412" s="32"/>
      <c r="E412" s="34"/>
      <c r="F412" s="24"/>
    </row>
    <row r="413">
      <c r="A413" s="4"/>
      <c r="B413" s="4"/>
      <c r="C413" s="32"/>
      <c r="D413" s="32"/>
      <c r="E413" s="34"/>
      <c r="F413" s="24"/>
    </row>
    <row r="414">
      <c r="A414" s="4"/>
      <c r="B414" s="4"/>
      <c r="C414" s="32"/>
      <c r="D414" s="32"/>
      <c r="E414" s="34"/>
      <c r="F414" s="24"/>
    </row>
    <row r="415">
      <c r="A415" s="4"/>
      <c r="B415" s="4"/>
      <c r="C415" s="32"/>
      <c r="D415" s="32"/>
      <c r="E415" s="34"/>
      <c r="F415" s="24"/>
    </row>
    <row r="416">
      <c r="A416" s="4"/>
      <c r="B416" s="4"/>
      <c r="C416" s="32"/>
      <c r="D416" s="32"/>
      <c r="E416" s="34"/>
      <c r="F416" s="24"/>
    </row>
    <row r="417">
      <c r="A417" s="4"/>
      <c r="B417" s="4"/>
      <c r="C417" s="32"/>
      <c r="D417" s="32"/>
      <c r="E417" s="34"/>
      <c r="F417" s="24"/>
    </row>
    <row r="418">
      <c r="A418" s="4"/>
      <c r="B418" s="4"/>
      <c r="C418" s="32"/>
      <c r="D418" s="32"/>
      <c r="E418" s="34"/>
      <c r="F418" s="24"/>
    </row>
    <row r="419">
      <c r="A419" s="4"/>
      <c r="B419" s="4"/>
      <c r="C419" s="32"/>
      <c r="D419" s="32"/>
      <c r="E419" s="34"/>
      <c r="F419" s="24"/>
    </row>
    <row r="420">
      <c r="A420" s="4"/>
      <c r="B420" s="4"/>
      <c r="C420" s="32"/>
      <c r="D420" s="32"/>
      <c r="E420" s="34"/>
      <c r="F420" s="24"/>
    </row>
    <row r="421">
      <c r="A421" s="4"/>
      <c r="B421" s="4"/>
      <c r="C421" s="32"/>
      <c r="D421" s="32"/>
      <c r="E421" s="34"/>
      <c r="F421" s="24"/>
    </row>
    <row r="422">
      <c r="A422" s="4"/>
      <c r="B422" s="4"/>
      <c r="C422" s="32"/>
      <c r="D422" s="32"/>
      <c r="E422" s="34"/>
      <c r="F422" s="24"/>
    </row>
    <row r="423">
      <c r="A423" s="4"/>
      <c r="B423" s="4"/>
      <c r="C423" s="32"/>
      <c r="D423" s="32"/>
      <c r="E423" s="34"/>
      <c r="F423" s="24"/>
    </row>
    <row r="424">
      <c r="A424" s="4"/>
      <c r="B424" s="4"/>
      <c r="C424" s="32"/>
      <c r="D424" s="32"/>
      <c r="E424" s="34"/>
      <c r="F424" s="24"/>
    </row>
    <row r="425">
      <c r="A425" s="4"/>
      <c r="B425" s="4"/>
      <c r="C425" s="32"/>
      <c r="D425" s="32"/>
      <c r="E425" s="34"/>
      <c r="F425" s="24"/>
    </row>
    <row r="426">
      <c r="A426" s="4"/>
      <c r="B426" s="4"/>
      <c r="C426" s="32"/>
      <c r="D426" s="32"/>
      <c r="E426" s="34"/>
      <c r="F426" s="24"/>
    </row>
    <row r="427">
      <c r="A427" s="4"/>
      <c r="B427" s="4"/>
      <c r="C427" s="32"/>
      <c r="D427" s="32"/>
      <c r="E427" s="34"/>
      <c r="F427" s="24"/>
    </row>
    <row r="428">
      <c r="A428" s="4"/>
      <c r="B428" s="4"/>
      <c r="C428" s="32"/>
      <c r="D428" s="32"/>
      <c r="E428" s="34"/>
      <c r="F428" s="24"/>
    </row>
    <row r="429">
      <c r="A429" s="4"/>
      <c r="B429" s="4"/>
      <c r="C429" s="32"/>
      <c r="D429" s="32"/>
      <c r="E429" s="34"/>
      <c r="F429" s="24"/>
    </row>
    <row r="430">
      <c r="A430" s="4"/>
      <c r="B430" s="4"/>
      <c r="C430" s="32"/>
      <c r="D430" s="32"/>
      <c r="E430" s="34"/>
      <c r="F430" s="24"/>
    </row>
    <row r="431">
      <c r="A431" s="4"/>
      <c r="B431" s="4"/>
      <c r="C431" s="32"/>
      <c r="D431" s="32"/>
      <c r="E431" s="34"/>
      <c r="F431" s="24"/>
    </row>
    <row r="432">
      <c r="A432" s="4"/>
      <c r="B432" s="4"/>
      <c r="C432" s="32"/>
      <c r="D432" s="32"/>
      <c r="E432" s="34"/>
      <c r="F432" s="24"/>
    </row>
    <row r="433">
      <c r="A433" s="4"/>
      <c r="B433" s="4"/>
      <c r="C433" s="32"/>
      <c r="D433" s="32"/>
      <c r="E433" s="34"/>
      <c r="F433" s="24"/>
    </row>
    <row r="434">
      <c r="A434" s="4"/>
      <c r="B434" s="4"/>
      <c r="C434" s="32"/>
      <c r="D434" s="32"/>
      <c r="E434" s="34"/>
      <c r="F434" s="24"/>
    </row>
    <row r="435">
      <c r="A435" s="4"/>
      <c r="B435" s="4"/>
      <c r="C435" s="32"/>
      <c r="D435" s="32"/>
      <c r="E435" s="34"/>
      <c r="F435" s="24"/>
    </row>
    <row r="436">
      <c r="A436" s="4"/>
      <c r="B436" s="4"/>
      <c r="C436" s="32"/>
      <c r="D436" s="32"/>
      <c r="E436" s="34"/>
      <c r="F436" s="24"/>
    </row>
    <row r="437">
      <c r="A437" s="4"/>
      <c r="B437" s="4"/>
      <c r="C437" s="32"/>
      <c r="D437" s="32"/>
      <c r="E437" s="34"/>
      <c r="F437" s="24"/>
    </row>
    <row r="438">
      <c r="A438" s="4"/>
      <c r="B438" s="4"/>
      <c r="C438" s="32"/>
      <c r="D438" s="32"/>
      <c r="E438" s="34"/>
      <c r="F438" s="24"/>
    </row>
    <row r="439">
      <c r="A439" s="4"/>
      <c r="B439" s="4"/>
      <c r="C439" s="32"/>
      <c r="D439" s="32"/>
      <c r="E439" s="34"/>
      <c r="F439" s="24"/>
    </row>
    <row r="440">
      <c r="A440" s="4"/>
      <c r="B440" s="4"/>
      <c r="C440" s="32"/>
      <c r="D440" s="32"/>
      <c r="E440" s="34"/>
      <c r="F440" s="24"/>
    </row>
    <row r="441">
      <c r="A441" s="4"/>
      <c r="B441" s="4"/>
      <c r="C441" s="32"/>
      <c r="D441" s="32"/>
      <c r="E441" s="34"/>
      <c r="F441" s="24"/>
    </row>
    <row r="442">
      <c r="A442" s="4"/>
      <c r="B442" s="4"/>
      <c r="C442" s="32"/>
      <c r="D442" s="32"/>
      <c r="E442" s="34"/>
      <c r="F442" s="24"/>
    </row>
    <row r="443">
      <c r="A443" s="4"/>
      <c r="B443" s="4"/>
      <c r="C443" s="32"/>
      <c r="D443" s="32"/>
      <c r="E443" s="34"/>
      <c r="F443" s="24"/>
    </row>
    <row r="444">
      <c r="A444" s="4"/>
      <c r="B444" s="4"/>
      <c r="C444" s="32"/>
      <c r="D444" s="32"/>
      <c r="E444" s="34"/>
      <c r="F444" s="24"/>
    </row>
    <row r="445">
      <c r="A445" s="4"/>
      <c r="B445" s="4"/>
      <c r="C445" s="32"/>
      <c r="D445" s="32"/>
      <c r="E445" s="34"/>
      <c r="F445" s="24"/>
    </row>
    <row r="446">
      <c r="A446" s="4"/>
      <c r="B446" s="4"/>
      <c r="C446" s="32"/>
      <c r="D446" s="32"/>
      <c r="E446" s="34"/>
      <c r="F446" s="24"/>
    </row>
    <row r="447">
      <c r="A447" s="4"/>
      <c r="B447" s="4"/>
      <c r="C447" s="32"/>
      <c r="D447" s="32"/>
      <c r="E447" s="34"/>
      <c r="F447" s="24"/>
    </row>
    <row r="448">
      <c r="A448" s="4"/>
      <c r="B448" s="4"/>
      <c r="C448" s="32"/>
      <c r="D448" s="32"/>
      <c r="E448" s="34"/>
      <c r="F448" s="24"/>
    </row>
    <row r="449">
      <c r="A449" s="4"/>
      <c r="B449" s="4"/>
      <c r="C449" s="32"/>
      <c r="D449" s="32"/>
      <c r="E449" s="34"/>
      <c r="F449" s="24"/>
    </row>
    <row r="450">
      <c r="A450" s="4"/>
      <c r="B450" s="4"/>
      <c r="C450" s="32"/>
      <c r="D450" s="32"/>
      <c r="E450" s="34"/>
      <c r="F450" s="24"/>
    </row>
    <row r="451">
      <c r="A451" s="4"/>
      <c r="B451" s="4"/>
      <c r="C451" s="32"/>
      <c r="D451" s="32"/>
      <c r="E451" s="34"/>
      <c r="F451" s="24"/>
    </row>
    <row r="452">
      <c r="A452" s="4"/>
      <c r="B452" s="4"/>
      <c r="C452" s="32"/>
      <c r="D452" s="32"/>
      <c r="E452" s="34"/>
      <c r="F452" s="24"/>
    </row>
    <row r="453">
      <c r="A453" s="4"/>
      <c r="B453" s="4"/>
      <c r="C453" s="32"/>
      <c r="D453" s="32"/>
      <c r="E453" s="34"/>
      <c r="F453" s="24"/>
    </row>
    <row r="454">
      <c r="A454" s="4"/>
      <c r="B454" s="4"/>
      <c r="C454" s="32"/>
      <c r="D454" s="32"/>
      <c r="E454" s="34"/>
      <c r="F454" s="24"/>
    </row>
    <row r="455">
      <c r="A455" s="4"/>
      <c r="B455" s="4"/>
      <c r="C455" s="32"/>
      <c r="D455" s="32"/>
      <c r="E455" s="34"/>
      <c r="F455" s="24"/>
    </row>
    <row r="456">
      <c r="A456" s="4"/>
      <c r="B456" s="4"/>
      <c r="C456" s="32"/>
      <c r="D456" s="32"/>
      <c r="E456" s="34"/>
      <c r="F456" s="24"/>
    </row>
    <row r="457">
      <c r="A457" s="4"/>
      <c r="B457" s="4"/>
      <c r="C457" s="32"/>
      <c r="D457" s="32"/>
      <c r="E457" s="34"/>
      <c r="F457" s="24"/>
    </row>
    <row r="458">
      <c r="A458" s="4"/>
      <c r="B458" s="4"/>
      <c r="C458" s="32"/>
      <c r="D458" s="32"/>
      <c r="E458" s="34"/>
      <c r="F458" s="24"/>
    </row>
    <row r="459">
      <c r="A459" s="4"/>
      <c r="B459" s="4"/>
      <c r="C459" s="32"/>
      <c r="D459" s="32"/>
      <c r="E459" s="34"/>
      <c r="F459" s="24"/>
    </row>
    <row r="460">
      <c r="A460" s="4"/>
      <c r="B460" s="4"/>
      <c r="C460" s="32"/>
      <c r="D460" s="32"/>
      <c r="E460" s="34"/>
      <c r="F460" s="24"/>
    </row>
    <row r="461">
      <c r="A461" s="4"/>
      <c r="B461" s="4"/>
      <c r="C461" s="32"/>
      <c r="D461" s="32"/>
      <c r="E461" s="34"/>
      <c r="F461" s="24"/>
    </row>
    <row r="462">
      <c r="A462" s="4"/>
      <c r="B462" s="4"/>
      <c r="C462" s="32"/>
      <c r="D462" s="32"/>
      <c r="E462" s="34"/>
      <c r="F462" s="24"/>
    </row>
    <row r="463">
      <c r="A463" s="4"/>
      <c r="B463" s="4"/>
      <c r="C463" s="32"/>
      <c r="D463" s="32"/>
      <c r="E463" s="34"/>
      <c r="F463" s="24"/>
    </row>
    <row r="464">
      <c r="A464" s="4"/>
      <c r="B464" s="4"/>
      <c r="C464" s="32"/>
      <c r="D464" s="32"/>
      <c r="E464" s="34"/>
      <c r="F464" s="24"/>
    </row>
    <row r="465">
      <c r="A465" s="4"/>
      <c r="B465" s="4"/>
      <c r="C465" s="32"/>
      <c r="D465" s="32"/>
      <c r="E465" s="34"/>
      <c r="F465" s="24"/>
    </row>
    <row r="466">
      <c r="A466" s="4"/>
      <c r="B466" s="4"/>
      <c r="C466" s="32"/>
      <c r="D466" s="32"/>
      <c r="E466" s="34"/>
      <c r="F466" s="24"/>
    </row>
    <row r="467">
      <c r="A467" s="4"/>
      <c r="B467" s="4"/>
      <c r="C467" s="32"/>
      <c r="D467" s="32"/>
      <c r="E467" s="34"/>
      <c r="F467" s="24"/>
    </row>
    <row r="468">
      <c r="A468" s="4"/>
      <c r="B468" s="4"/>
      <c r="C468" s="32"/>
      <c r="D468" s="32"/>
      <c r="E468" s="34"/>
      <c r="F468" s="24"/>
    </row>
    <row r="469">
      <c r="A469" s="4"/>
      <c r="B469" s="4"/>
      <c r="C469" s="32"/>
      <c r="D469" s="32"/>
      <c r="E469" s="34"/>
      <c r="F469" s="24"/>
    </row>
    <row r="470">
      <c r="A470" s="4"/>
      <c r="B470" s="4"/>
      <c r="C470" s="32"/>
      <c r="D470" s="32"/>
      <c r="E470" s="34"/>
      <c r="F470" s="24"/>
    </row>
    <row r="471">
      <c r="A471" s="4"/>
      <c r="B471" s="4"/>
      <c r="C471" s="32"/>
      <c r="D471" s="32"/>
      <c r="E471" s="34"/>
      <c r="F471" s="24"/>
    </row>
    <row r="472">
      <c r="A472" s="4"/>
      <c r="B472" s="4"/>
      <c r="C472" s="32"/>
      <c r="D472" s="32"/>
      <c r="E472" s="34"/>
      <c r="F472" s="24"/>
    </row>
    <row r="473">
      <c r="A473" s="4"/>
      <c r="B473" s="4"/>
      <c r="C473" s="32"/>
      <c r="D473" s="32"/>
      <c r="E473" s="34"/>
      <c r="F473" s="24"/>
    </row>
    <row r="474">
      <c r="A474" s="4"/>
      <c r="B474" s="4"/>
      <c r="C474" s="32"/>
      <c r="D474" s="32"/>
      <c r="E474" s="34"/>
      <c r="F474" s="24"/>
    </row>
    <row r="475">
      <c r="A475" s="4"/>
      <c r="B475" s="4"/>
      <c r="C475" s="32"/>
      <c r="D475" s="32"/>
      <c r="E475" s="34"/>
      <c r="F475" s="24"/>
    </row>
    <row r="476">
      <c r="A476" s="4"/>
      <c r="B476" s="4"/>
      <c r="C476" s="32"/>
      <c r="D476" s="32"/>
      <c r="E476" s="34"/>
      <c r="F476" s="24"/>
    </row>
    <row r="477">
      <c r="A477" s="4"/>
      <c r="B477" s="4"/>
      <c r="C477" s="32"/>
      <c r="D477" s="32"/>
      <c r="E477" s="34"/>
      <c r="F477" s="24"/>
    </row>
    <row r="478">
      <c r="A478" s="4"/>
      <c r="B478" s="4"/>
      <c r="C478" s="32"/>
      <c r="D478" s="32"/>
      <c r="E478" s="34"/>
      <c r="F478" s="24"/>
    </row>
    <row r="479">
      <c r="A479" s="4"/>
      <c r="B479" s="4"/>
      <c r="C479" s="32"/>
      <c r="D479" s="32"/>
      <c r="E479" s="34"/>
      <c r="F479" s="24"/>
    </row>
    <row r="480">
      <c r="A480" s="4"/>
      <c r="B480" s="4"/>
      <c r="C480" s="32"/>
      <c r="D480" s="32"/>
      <c r="E480" s="34"/>
      <c r="F480" s="24"/>
    </row>
    <row r="481">
      <c r="A481" s="4"/>
      <c r="B481" s="4"/>
      <c r="C481" s="32"/>
      <c r="D481" s="32"/>
      <c r="E481" s="34"/>
      <c r="F481" s="24"/>
    </row>
    <row r="482">
      <c r="A482" s="4"/>
      <c r="B482" s="4"/>
      <c r="C482" s="32"/>
      <c r="D482" s="32"/>
      <c r="E482" s="34"/>
      <c r="F482" s="24"/>
    </row>
    <row r="483">
      <c r="A483" s="4"/>
      <c r="B483" s="4"/>
      <c r="C483" s="32"/>
      <c r="D483" s="32"/>
      <c r="E483" s="34"/>
      <c r="F483" s="24"/>
    </row>
    <row r="484">
      <c r="A484" s="4"/>
      <c r="B484" s="4"/>
      <c r="C484" s="32"/>
      <c r="D484" s="32"/>
      <c r="E484" s="34"/>
      <c r="F484" s="24"/>
    </row>
    <row r="485">
      <c r="A485" s="4"/>
      <c r="B485" s="4"/>
      <c r="C485" s="32"/>
      <c r="D485" s="32"/>
      <c r="E485" s="34"/>
      <c r="F485" s="24"/>
    </row>
    <row r="486">
      <c r="A486" s="4"/>
      <c r="B486" s="4"/>
      <c r="C486" s="32"/>
      <c r="D486" s="32"/>
      <c r="E486" s="34"/>
      <c r="F486" s="24"/>
    </row>
    <row r="487">
      <c r="A487" s="4"/>
      <c r="B487" s="4"/>
      <c r="C487" s="32"/>
      <c r="D487" s="32"/>
      <c r="E487" s="34"/>
      <c r="F487" s="24"/>
    </row>
    <row r="488">
      <c r="A488" s="4"/>
      <c r="B488" s="4"/>
      <c r="C488" s="32"/>
      <c r="D488" s="32"/>
      <c r="E488" s="34"/>
      <c r="F488" s="24"/>
    </row>
    <row r="489">
      <c r="A489" s="4"/>
      <c r="B489" s="4"/>
      <c r="C489" s="32"/>
      <c r="D489" s="32"/>
      <c r="E489" s="34"/>
      <c r="F489" s="24"/>
    </row>
    <row r="490">
      <c r="A490" s="4"/>
      <c r="B490" s="4"/>
      <c r="C490" s="32"/>
      <c r="D490" s="32"/>
      <c r="E490" s="34"/>
      <c r="F490" s="24"/>
    </row>
    <row r="491">
      <c r="A491" s="4"/>
      <c r="B491" s="4"/>
      <c r="C491" s="32"/>
      <c r="D491" s="32"/>
      <c r="E491" s="34"/>
      <c r="F491" s="24"/>
    </row>
    <row r="492">
      <c r="A492" s="4"/>
      <c r="B492" s="4"/>
      <c r="C492" s="32"/>
      <c r="D492" s="32"/>
      <c r="E492" s="34"/>
      <c r="F492" s="24"/>
    </row>
    <row r="493">
      <c r="A493" s="4"/>
      <c r="B493" s="4"/>
      <c r="C493" s="32"/>
      <c r="D493" s="32"/>
      <c r="E493" s="34"/>
      <c r="F493" s="24"/>
    </row>
    <row r="494">
      <c r="A494" s="4"/>
      <c r="B494" s="4"/>
      <c r="C494" s="32"/>
      <c r="D494" s="32"/>
      <c r="E494" s="34"/>
      <c r="F494" s="24"/>
    </row>
    <row r="495">
      <c r="A495" s="4"/>
      <c r="B495" s="4"/>
      <c r="C495" s="32"/>
      <c r="D495" s="32"/>
      <c r="E495" s="34"/>
      <c r="F495" s="24"/>
    </row>
    <row r="496">
      <c r="A496" s="4"/>
      <c r="B496" s="4"/>
      <c r="C496" s="32"/>
      <c r="D496" s="32"/>
      <c r="E496" s="34"/>
      <c r="F496" s="24"/>
    </row>
    <row r="497">
      <c r="A497" s="4"/>
      <c r="B497" s="4"/>
      <c r="C497" s="32"/>
      <c r="D497" s="32"/>
      <c r="E497" s="34"/>
      <c r="F497" s="24"/>
    </row>
    <row r="498">
      <c r="A498" s="4"/>
      <c r="B498" s="4"/>
      <c r="C498" s="32"/>
      <c r="D498" s="32"/>
      <c r="E498" s="34"/>
      <c r="F498" s="24"/>
    </row>
    <row r="499">
      <c r="A499" s="4"/>
      <c r="B499" s="4"/>
      <c r="C499" s="32"/>
      <c r="D499" s="32"/>
      <c r="E499" s="34"/>
      <c r="F499" s="24"/>
    </row>
    <row r="500">
      <c r="A500" s="4"/>
      <c r="B500" s="4"/>
      <c r="C500" s="32"/>
      <c r="D500" s="32"/>
      <c r="E500" s="34"/>
      <c r="F500" s="24"/>
    </row>
    <row r="501">
      <c r="A501" s="4"/>
      <c r="B501" s="4"/>
      <c r="C501" s="32"/>
      <c r="D501" s="32"/>
      <c r="E501" s="34"/>
      <c r="F501" s="24"/>
    </row>
    <row r="502">
      <c r="A502" s="4"/>
      <c r="B502" s="4"/>
      <c r="C502" s="32"/>
      <c r="D502" s="32"/>
      <c r="E502" s="34"/>
      <c r="F502" s="24"/>
    </row>
    <row r="503">
      <c r="A503" s="4"/>
      <c r="B503" s="4"/>
      <c r="C503" s="32"/>
      <c r="D503" s="32"/>
      <c r="E503" s="34"/>
      <c r="F503" s="24"/>
    </row>
    <row r="504">
      <c r="A504" s="4"/>
      <c r="B504" s="4"/>
      <c r="C504" s="32"/>
      <c r="D504" s="32"/>
      <c r="E504" s="34"/>
      <c r="F504" s="24"/>
    </row>
    <row r="505">
      <c r="A505" s="4"/>
      <c r="B505" s="4"/>
      <c r="C505" s="32"/>
      <c r="D505" s="32"/>
      <c r="E505" s="34"/>
      <c r="F505" s="24"/>
    </row>
    <row r="506">
      <c r="A506" s="4"/>
      <c r="B506" s="4"/>
      <c r="C506" s="32"/>
      <c r="D506" s="32"/>
      <c r="E506" s="34"/>
      <c r="F506" s="24"/>
    </row>
    <row r="507">
      <c r="A507" s="4"/>
      <c r="B507" s="4"/>
      <c r="C507" s="32"/>
      <c r="D507" s="32"/>
      <c r="E507" s="34"/>
      <c r="F507" s="24"/>
    </row>
    <row r="508">
      <c r="A508" s="4"/>
      <c r="B508" s="4"/>
      <c r="C508" s="32"/>
      <c r="D508" s="32"/>
      <c r="E508" s="34"/>
      <c r="F508" s="24"/>
    </row>
    <row r="509">
      <c r="A509" s="4"/>
      <c r="B509" s="4"/>
      <c r="C509" s="32"/>
      <c r="D509" s="32"/>
      <c r="E509" s="34"/>
      <c r="F509" s="24"/>
    </row>
    <row r="510">
      <c r="A510" s="4"/>
      <c r="B510" s="4"/>
      <c r="C510" s="32"/>
      <c r="D510" s="32"/>
      <c r="E510" s="34"/>
      <c r="F510" s="24"/>
    </row>
    <row r="511">
      <c r="A511" s="4"/>
      <c r="B511" s="4"/>
      <c r="C511" s="32"/>
      <c r="D511" s="32"/>
      <c r="E511" s="34"/>
      <c r="F511" s="24"/>
    </row>
    <row r="512">
      <c r="A512" s="4"/>
      <c r="B512" s="4"/>
      <c r="C512" s="32"/>
      <c r="D512" s="32"/>
      <c r="E512" s="34"/>
      <c r="F512" s="24"/>
    </row>
    <row r="513">
      <c r="A513" s="4"/>
      <c r="B513" s="4"/>
      <c r="C513" s="32"/>
      <c r="D513" s="32"/>
      <c r="E513" s="34"/>
      <c r="F513" s="24"/>
    </row>
    <row r="514">
      <c r="A514" s="4"/>
      <c r="B514" s="4"/>
      <c r="C514" s="32"/>
      <c r="D514" s="32"/>
      <c r="E514" s="34"/>
      <c r="F514" s="24"/>
    </row>
    <row r="515">
      <c r="A515" s="4"/>
      <c r="B515" s="4"/>
      <c r="C515" s="32"/>
      <c r="D515" s="32"/>
      <c r="E515" s="34"/>
      <c r="F515" s="24"/>
    </row>
    <row r="516">
      <c r="A516" s="4"/>
      <c r="B516" s="4"/>
      <c r="C516" s="32"/>
      <c r="D516" s="32"/>
      <c r="E516" s="34"/>
      <c r="F516" s="24"/>
    </row>
    <row r="517">
      <c r="A517" s="4"/>
      <c r="B517" s="4"/>
      <c r="C517" s="32"/>
      <c r="D517" s="32"/>
      <c r="E517" s="34"/>
      <c r="F517" s="24"/>
    </row>
    <row r="518">
      <c r="A518" s="4"/>
      <c r="B518" s="4"/>
      <c r="C518" s="32"/>
      <c r="D518" s="32"/>
      <c r="E518" s="34"/>
      <c r="F518" s="24"/>
    </row>
    <row r="519">
      <c r="A519" s="4"/>
      <c r="B519" s="4"/>
      <c r="C519" s="32"/>
      <c r="D519" s="32"/>
      <c r="E519" s="34"/>
      <c r="F519" s="24"/>
    </row>
    <row r="520">
      <c r="A520" s="4"/>
      <c r="B520" s="4"/>
      <c r="C520" s="32"/>
      <c r="D520" s="32"/>
      <c r="E520" s="34"/>
      <c r="F520" s="24"/>
    </row>
    <row r="521">
      <c r="A521" s="4"/>
      <c r="B521" s="4"/>
      <c r="C521" s="32"/>
      <c r="D521" s="32"/>
      <c r="E521" s="34"/>
      <c r="F521" s="24"/>
    </row>
    <row r="522">
      <c r="A522" s="4"/>
      <c r="B522" s="4"/>
      <c r="C522" s="32"/>
      <c r="D522" s="32"/>
      <c r="E522" s="34"/>
      <c r="F522" s="24"/>
    </row>
    <row r="523">
      <c r="A523" s="4"/>
      <c r="B523" s="4"/>
      <c r="C523" s="32"/>
      <c r="D523" s="32"/>
      <c r="E523" s="34"/>
      <c r="F523" s="24"/>
    </row>
    <row r="524">
      <c r="A524" s="4"/>
      <c r="B524" s="4"/>
      <c r="C524" s="32"/>
      <c r="D524" s="32"/>
      <c r="E524" s="34"/>
      <c r="F524" s="24"/>
    </row>
    <row r="525">
      <c r="A525" s="4"/>
      <c r="B525" s="4"/>
      <c r="C525" s="32"/>
      <c r="D525" s="32"/>
      <c r="E525" s="34"/>
      <c r="F525" s="24"/>
    </row>
    <row r="526">
      <c r="A526" s="4"/>
      <c r="B526" s="4"/>
      <c r="C526" s="32"/>
      <c r="D526" s="32"/>
      <c r="E526" s="34"/>
      <c r="F526" s="24"/>
    </row>
    <row r="527">
      <c r="A527" s="4"/>
      <c r="B527" s="4"/>
      <c r="C527" s="32"/>
      <c r="D527" s="32"/>
      <c r="E527" s="34"/>
      <c r="F527" s="24"/>
    </row>
    <row r="528">
      <c r="A528" s="4"/>
      <c r="B528" s="4"/>
      <c r="C528" s="32"/>
      <c r="D528" s="32"/>
      <c r="E528" s="34"/>
      <c r="F528" s="24"/>
    </row>
    <row r="529">
      <c r="A529" s="4"/>
      <c r="B529" s="4"/>
      <c r="C529" s="32"/>
      <c r="D529" s="32"/>
      <c r="E529" s="34"/>
      <c r="F529" s="24"/>
    </row>
    <row r="530">
      <c r="A530" s="4"/>
      <c r="B530" s="4"/>
      <c r="C530" s="32"/>
      <c r="D530" s="32"/>
      <c r="E530" s="34"/>
      <c r="F530" s="24"/>
    </row>
    <row r="531">
      <c r="A531" s="4"/>
      <c r="B531" s="4"/>
      <c r="C531" s="32"/>
      <c r="D531" s="32"/>
      <c r="E531" s="34"/>
      <c r="F531" s="24"/>
    </row>
    <row r="532">
      <c r="A532" s="4"/>
      <c r="B532" s="4"/>
      <c r="C532" s="32"/>
      <c r="D532" s="32"/>
      <c r="E532" s="34"/>
      <c r="F532" s="24"/>
    </row>
    <row r="533">
      <c r="A533" s="4"/>
      <c r="B533" s="4"/>
      <c r="C533" s="32"/>
      <c r="D533" s="32"/>
      <c r="E533" s="34"/>
      <c r="F533" s="24"/>
    </row>
    <row r="534">
      <c r="A534" s="4"/>
      <c r="B534" s="4"/>
      <c r="C534" s="32"/>
      <c r="D534" s="32"/>
      <c r="E534" s="34"/>
      <c r="F534" s="24"/>
    </row>
    <row r="535">
      <c r="A535" s="4"/>
      <c r="B535" s="4"/>
      <c r="C535" s="32"/>
      <c r="D535" s="32"/>
      <c r="E535" s="34"/>
      <c r="F535" s="24"/>
    </row>
    <row r="536">
      <c r="A536" s="4"/>
      <c r="B536" s="4"/>
      <c r="C536" s="32"/>
      <c r="D536" s="32"/>
      <c r="E536" s="34"/>
      <c r="F536" s="24"/>
    </row>
    <row r="537">
      <c r="A537" s="4"/>
      <c r="B537" s="4"/>
      <c r="C537" s="32"/>
      <c r="D537" s="32"/>
      <c r="E537" s="34"/>
      <c r="F537" s="24"/>
    </row>
    <row r="538">
      <c r="A538" s="4"/>
      <c r="B538" s="4"/>
      <c r="C538" s="32"/>
      <c r="D538" s="32"/>
      <c r="E538" s="34"/>
      <c r="F538" s="24"/>
    </row>
    <row r="539">
      <c r="A539" s="4"/>
      <c r="B539" s="4"/>
      <c r="C539" s="32"/>
      <c r="D539" s="32"/>
      <c r="E539" s="34"/>
      <c r="F539" s="24"/>
    </row>
    <row r="540">
      <c r="A540" s="4"/>
      <c r="B540" s="4"/>
      <c r="C540" s="32"/>
      <c r="D540" s="32"/>
      <c r="E540" s="34"/>
      <c r="F540" s="24"/>
    </row>
    <row r="541">
      <c r="A541" s="4"/>
      <c r="B541" s="4"/>
      <c r="C541" s="32"/>
      <c r="D541" s="32"/>
      <c r="E541" s="34"/>
      <c r="F541" s="24"/>
    </row>
    <row r="542">
      <c r="A542" s="4"/>
      <c r="B542" s="4"/>
      <c r="C542" s="32"/>
      <c r="D542" s="32"/>
      <c r="E542" s="34"/>
      <c r="F542" s="24"/>
    </row>
    <row r="543">
      <c r="A543" s="4"/>
      <c r="B543" s="4"/>
      <c r="C543" s="32"/>
      <c r="D543" s="32"/>
      <c r="E543" s="34"/>
      <c r="F543" s="24"/>
    </row>
    <row r="544">
      <c r="A544" s="4"/>
      <c r="B544" s="4"/>
      <c r="C544" s="32"/>
      <c r="D544" s="32"/>
      <c r="E544" s="34"/>
      <c r="F544" s="24"/>
    </row>
    <row r="545">
      <c r="A545" s="4"/>
      <c r="B545" s="4"/>
      <c r="C545" s="32"/>
      <c r="D545" s="32"/>
      <c r="E545" s="34"/>
      <c r="F545" s="24"/>
    </row>
    <row r="546">
      <c r="A546" s="4"/>
      <c r="B546" s="4"/>
      <c r="C546" s="32"/>
      <c r="D546" s="32"/>
      <c r="E546" s="34"/>
      <c r="F546" s="24"/>
    </row>
    <row r="547">
      <c r="A547" s="4"/>
      <c r="B547" s="4"/>
      <c r="C547" s="32"/>
      <c r="D547" s="32"/>
      <c r="E547" s="34"/>
      <c r="F547" s="24"/>
    </row>
    <row r="548">
      <c r="A548" s="4"/>
      <c r="B548" s="4"/>
      <c r="C548" s="32"/>
      <c r="D548" s="32"/>
      <c r="E548" s="34"/>
      <c r="F548" s="24"/>
    </row>
    <row r="549">
      <c r="A549" s="4"/>
      <c r="B549" s="4"/>
      <c r="C549" s="32"/>
      <c r="D549" s="32"/>
      <c r="E549" s="34"/>
      <c r="F549" s="24"/>
    </row>
    <row r="550">
      <c r="A550" s="4"/>
      <c r="B550" s="4"/>
      <c r="C550" s="32"/>
      <c r="D550" s="32"/>
      <c r="E550" s="34"/>
      <c r="F550" s="24"/>
    </row>
    <row r="551">
      <c r="A551" s="4"/>
      <c r="B551" s="4"/>
      <c r="C551" s="32"/>
      <c r="D551" s="32"/>
      <c r="E551" s="34"/>
      <c r="F551" s="24"/>
    </row>
    <row r="552">
      <c r="A552" s="4"/>
      <c r="B552" s="4"/>
      <c r="C552" s="32"/>
      <c r="D552" s="32"/>
      <c r="E552" s="34"/>
      <c r="F552" s="24"/>
    </row>
    <row r="553">
      <c r="A553" s="4"/>
      <c r="B553" s="4"/>
      <c r="C553" s="32"/>
      <c r="D553" s="32"/>
      <c r="E553" s="34"/>
      <c r="F553" s="24"/>
    </row>
    <row r="554">
      <c r="A554" s="4"/>
      <c r="B554" s="4"/>
      <c r="C554" s="32"/>
      <c r="D554" s="32"/>
      <c r="E554" s="34"/>
      <c r="F554" s="24"/>
    </row>
    <row r="555">
      <c r="A555" s="4"/>
      <c r="B555" s="4"/>
      <c r="C555" s="32"/>
      <c r="D555" s="32"/>
      <c r="E555" s="34"/>
      <c r="F555" s="24"/>
    </row>
    <row r="556">
      <c r="A556" s="4"/>
      <c r="B556" s="4"/>
      <c r="C556" s="32"/>
      <c r="D556" s="32"/>
      <c r="E556" s="34"/>
      <c r="F556" s="24"/>
    </row>
    <row r="557">
      <c r="A557" s="4"/>
      <c r="B557" s="4"/>
      <c r="C557" s="32"/>
      <c r="D557" s="32"/>
      <c r="E557" s="34"/>
      <c r="F557" s="24"/>
    </row>
    <row r="558">
      <c r="A558" s="4"/>
      <c r="B558" s="4"/>
      <c r="C558" s="32"/>
      <c r="D558" s="32"/>
      <c r="E558" s="34"/>
      <c r="F558" s="24"/>
    </row>
    <row r="559">
      <c r="A559" s="4"/>
      <c r="B559" s="4"/>
      <c r="C559" s="32"/>
      <c r="D559" s="32"/>
      <c r="E559" s="34"/>
      <c r="F559" s="24"/>
    </row>
    <row r="560">
      <c r="A560" s="4"/>
      <c r="B560" s="4"/>
      <c r="C560" s="32"/>
      <c r="D560" s="32"/>
      <c r="E560" s="34"/>
      <c r="F560" s="24"/>
    </row>
    <row r="561">
      <c r="A561" s="4"/>
      <c r="B561" s="4"/>
      <c r="C561" s="32"/>
      <c r="D561" s="32"/>
      <c r="E561" s="34"/>
      <c r="F561" s="24"/>
    </row>
    <row r="562">
      <c r="A562" s="4"/>
      <c r="B562" s="4"/>
      <c r="C562" s="32"/>
      <c r="D562" s="32"/>
      <c r="E562" s="34"/>
      <c r="F562" s="24"/>
    </row>
    <row r="563">
      <c r="A563" s="4"/>
      <c r="B563" s="4"/>
      <c r="C563" s="32"/>
      <c r="D563" s="32"/>
      <c r="E563" s="34"/>
      <c r="F563" s="24"/>
    </row>
    <row r="564">
      <c r="A564" s="4"/>
      <c r="B564" s="4"/>
      <c r="C564" s="32"/>
      <c r="D564" s="32"/>
      <c r="E564" s="34"/>
      <c r="F564" s="24"/>
    </row>
    <row r="565">
      <c r="A565" s="4"/>
      <c r="B565" s="4"/>
      <c r="C565" s="32"/>
      <c r="D565" s="32"/>
      <c r="E565" s="34"/>
      <c r="F565" s="24"/>
    </row>
    <row r="566">
      <c r="A566" s="4"/>
      <c r="B566" s="4"/>
      <c r="C566" s="32"/>
      <c r="D566" s="32"/>
      <c r="E566" s="34"/>
      <c r="F566" s="24"/>
    </row>
    <row r="567">
      <c r="A567" s="4"/>
      <c r="B567" s="4"/>
      <c r="C567" s="32"/>
      <c r="D567" s="32"/>
      <c r="E567" s="34"/>
      <c r="F567" s="24"/>
    </row>
    <row r="568">
      <c r="A568" s="4"/>
      <c r="B568" s="4"/>
      <c r="C568" s="32"/>
      <c r="D568" s="32"/>
      <c r="E568" s="34"/>
      <c r="F568" s="24"/>
    </row>
    <row r="569">
      <c r="A569" s="4"/>
      <c r="B569" s="4"/>
      <c r="C569" s="32"/>
      <c r="D569" s="32"/>
      <c r="E569" s="34"/>
      <c r="F569" s="24"/>
    </row>
    <row r="570">
      <c r="A570" s="4"/>
      <c r="B570" s="4"/>
      <c r="C570" s="32"/>
      <c r="D570" s="32"/>
      <c r="E570" s="34"/>
      <c r="F570" s="24"/>
    </row>
    <row r="571">
      <c r="A571" s="4"/>
      <c r="B571" s="4"/>
      <c r="C571" s="32"/>
      <c r="D571" s="32"/>
      <c r="E571" s="34"/>
      <c r="F571" s="24"/>
    </row>
    <row r="572">
      <c r="A572" s="4"/>
      <c r="B572" s="4"/>
      <c r="C572" s="32"/>
      <c r="D572" s="32"/>
      <c r="E572" s="34"/>
      <c r="F572" s="24"/>
    </row>
    <row r="573">
      <c r="A573" s="4"/>
      <c r="B573" s="4"/>
      <c r="C573" s="32"/>
      <c r="D573" s="32"/>
      <c r="E573" s="34"/>
      <c r="F573" s="24"/>
    </row>
    <row r="574">
      <c r="A574" s="4"/>
      <c r="B574" s="4"/>
      <c r="C574" s="32"/>
      <c r="D574" s="32"/>
      <c r="E574" s="34"/>
      <c r="F574" s="24"/>
    </row>
    <row r="575">
      <c r="A575" s="4"/>
      <c r="B575" s="4"/>
      <c r="C575" s="32"/>
      <c r="D575" s="32"/>
      <c r="E575" s="34"/>
      <c r="F575" s="24"/>
    </row>
    <row r="576">
      <c r="A576" s="4"/>
      <c r="B576" s="4"/>
      <c r="C576" s="32"/>
      <c r="D576" s="32"/>
      <c r="E576" s="34"/>
      <c r="F576" s="24"/>
    </row>
    <row r="577">
      <c r="A577" s="4"/>
      <c r="B577" s="4"/>
      <c r="C577" s="32"/>
      <c r="D577" s="32"/>
      <c r="E577" s="34"/>
      <c r="F577" s="24"/>
    </row>
    <row r="578">
      <c r="A578" s="4"/>
      <c r="B578" s="4"/>
      <c r="C578" s="32"/>
      <c r="D578" s="32"/>
      <c r="E578" s="34"/>
      <c r="F578" s="24"/>
    </row>
    <row r="579">
      <c r="A579" s="4"/>
      <c r="B579" s="4"/>
      <c r="C579" s="32"/>
      <c r="D579" s="32"/>
      <c r="E579" s="34"/>
      <c r="F579" s="24"/>
    </row>
    <row r="580">
      <c r="A580" s="4"/>
      <c r="B580" s="4"/>
      <c r="C580" s="32"/>
      <c r="D580" s="32"/>
      <c r="E580" s="34"/>
      <c r="F580" s="24"/>
    </row>
    <row r="581">
      <c r="A581" s="4"/>
      <c r="B581" s="4"/>
      <c r="C581" s="32"/>
      <c r="D581" s="32"/>
      <c r="E581" s="34"/>
      <c r="F581" s="24"/>
    </row>
    <row r="582">
      <c r="A582" s="4"/>
      <c r="B582" s="4"/>
      <c r="C582" s="32"/>
      <c r="D582" s="32"/>
      <c r="E582" s="34"/>
      <c r="F582" s="24"/>
    </row>
    <row r="583">
      <c r="A583" s="4"/>
      <c r="B583" s="4"/>
      <c r="C583" s="32"/>
      <c r="D583" s="32"/>
      <c r="E583" s="34"/>
      <c r="F583" s="24"/>
    </row>
    <row r="584">
      <c r="A584" s="4"/>
      <c r="B584" s="4"/>
      <c r="C584" s="32"/>
      <c r="D584" s="32"/>
      <c r="E584" s="34"/>
      <c r="F584" s="24"/>
    </row>
    <row r="585">
      <c r="A585" s="4"/>
      <c r="B585" s="4"/>
      <c r="C585" s="32"/>
      <c r="D585" s="32"/>
      <c r="E585" s="34"/>
      <c r="F585" s="24"/>
    </row>
    <row r="586">
      <c r="A586" s="4"/>
      <c r="B586" s="4"/>
      <c r="C586" s="32"/>
      <c r="D586" s="32"/>
      <c r="E586" s="34"/>
      <c r="F586" s="24"/>
    </row>
    <row r="587">
      <c r="A587" s="4"/>
      <c r="B587" s="4"/>
      <c r="C587" s="32"/>
      <c r="D587" s="32"/>
      <c r="E587" s="34"/>
      <c r="F587" s="24"/>
    </row>
    <row r="588">
      <c r="A588" s="4"/>
      <c r="B588" s="4"/>
      <c r="C588" s="32"/>
      <c r="D588" s="32"/>
      <c r="E588" s="34"/>
      <c r="F588" s="24"/>
    </row>
    <row r="589">
      <c r="A589" s="4"/>
      <c r="B589" s="4"/>
      <c r="C589" s="32"/>
      <c r="D589" s="32"/>
      <c r="E589" s="34"/>
      <c r="F589" s="24"/>
    </row>
    <row r="590">
      <c r="A590" s="4"/>
      <c r="B590" s="4"/>
      <c r="C590" s="32"/>
      <c r="D590" s="32"/>
      <c r="E590" s="34"/>
      <c r="F590" s="24"/>
    </row>
    <row r="591">
      <c r="A591" s="4"/>
      <c r="B591" s="4"/>
      <c r="C591" s="32"/>
      <c r="D591" s="32"/>
      <c r="E591" s="34"/>
      <c r="F591" s="24"/>
    </row>
    <row r="592">
      <c r="A592" s="4"/>
      <c r="B592" s="4"/>
      <c r="C592" s="32"/>
      <c r="D592" s="32"/>
      <c r="E592" s="34"/>
      <c r="F592" s="24"/>
    </row>
    <row r="593">
      <c r="A593" s="4"/>
      <c r="B593" s="4"/>
      <c r="C593" s="32"/>
      <c r="D593" s="32"/>
      <c r="E593" s="34"/>
      <c r="F593" s="24"/>
    </row>
    <row r="594">
      <c r="A594" s="4"/>
      <c r="B594" s="4"/>
      <c r="C594" s="32"/>
      <c r="D594" s="32"/>
      <c r="E594" s="34"/>
      <c r="F594" s="24"/>
    </row>
    <row r="595">
      <c r="A595" s="4"/>
      <c r="B595" s="4"/>
      <c r="C595" s="32"/>
      <c r="D595" s="32"/>
      <c r="E595" s="34"/>
      <c r="F595" s="24"/>
    </row>
    <row r="596">
      <c r="A596" s="4"/>
      <c r="B596" s="4"/>
      <c r="C596" s="32"/>
      <c r="D596" s="32"/>
      <c r="E596" s="34"/>
      <c r="F596" s="24"/>
    </row>
    <row r="597">
      <c r="A597" s="4"/>
      <c r="B597" s="4"/>
      <c r="C597" s="32"/>
      <c r="D597" s="32"/>
      <c r="E597" s="34"/>
      <c r="F597" s="24"/>
    </row>
    <row r="598">
      <c r="A598" s="4"/>
      <c r="B598" s="4"/>
      <c r="C598" s="32"/>
      <c r="D598" s="32"/>
      <c r="E598" s="34"/>
      <c r="F598" s="24"/>
    </row>
    <row r="599">
      <c r="A599" s="4"/>
      <c r="B599" s="4"/>
      <c r="C599" s="32"/>
      <c r="D599" s="32"/>
      <c r="E599" s="34"/>
      <c r="F599" s="24"/>
    </row>
    <row r="600">
      <c r="A600" s="4"/>
      <c r="B600" s="4"/>
      <c r="C600" s="32"/>
      <c r="D600" s="32"/>
      <c r="E600" s="34"/>
      <c r="F600" s="24"/>
    </row>
    <row r="601">
      <c r="A601" s="4"/>
      <c r="B601" s="4"/>
      <c r="C601" s="32"/>
      <c r="D601" s="32"/>
      <c r="E601" s="34"/>
      <c r="F601" s="24"/>
    </row>
    <row r="602">
      <c r="A602" s="4"/>
      <c r="B602" s="4"/>
      <c r="C602" s="32"/>
      <c r="D602" s="32"/>
      <c r="E602" s="34"/>
      <c r="F602" s="24"/>
    </row>
    <row r="603">
      <c r="A603" s="4"/>
      <c r="B603" s="4"/>
      <c r="C603" s="32"/>
      <c r="D603" s="32"/>
      <c r="E603" s="34"/>
      <c r="F603" s="24"/>
    </row>
    <row r="604">
      <c r="A604" s="4"/>
      <c r="B604" s="4"/>
      <c r="C604" s="32"/>
      <c r="D604" s="32"/>
      <c r="E604" s="34"/>
      <c r="F604" s="24"/>
    </row>
    <row r="605">
      <c r="A605" s="4"/>
      <c r="B605" s="4"/>
      <c r="C605" s="32"/>
      <c r="D605" s="32"/>
      <c r="E605" s="34"/>
      <c r="F605" s="24"/>
    </row>
    <row r="606">
      <c r="A606" s="4"/>
      <c r="B606" s="4"/>
      <c r="C606" s="32"/>
      <c r="D606" s="32"/>
      <c r="E606" s="34"/>
      <c r="F606" s="24"/>
    </row>
    <row r="607">
      <c r="A607" s="4"/>
      <c r="B607" s="4"/>
      <c r="C607" s="32"/>
      <c r="D607" s="32"/>
      <c r="E607" s="34"/>
      <c r="F607" s="24"/>
    </row>
    <row r="608">
      <c r="A608" s="4"/>
      <c r="B608" s="4"/>
      <c r="C608" s="32"/>
      <c r="D608" s="32"/>
      <c r="E608" s="34"/>
      <c r="F608" s="24"/>
    </row>
    <row r="609">
      <c r="A609" s="4"/>
      <c r="B609" s="4"/>
      <c r="C609" s="32"/>
      <c r="D609" s="32"/>
      <c r="E609" s="34"/>
      <c r="F609" s="24"/>
    </row>
    <row r="610">
      <c r="A610" s="4"/>
      <c r="B610" s="4"/>
      <c r="C610" s="32"/>
      <c r="D610" s="32"/>
      <c r="E610" s="34"/>
      <c r="F610" s="24"/>
    </row>
    <row r="611">
      <c r="A611" s="4"/>
      <c r="B611" s="4"/>
      <c r="C611" s="32"/>
      <c r="D611" s="32"/>
      <c r="E611" s="34"/>
      <c r="F611" s="24"/>
    </row>
    <row r="612">
      <c r="A612" s="4"/>
      <c r="B612" s="4"/>
      <c r="C612" s="32"/>
      <c r="D612" s="32"/>
      <c r="E612" s="34"/>
      <c r="F612" s="24"/>
    </row>
    <row r="613">
      <c r="A613" s="4"/>
      <c r="B613" s="4"/>
      <c r="C613" s="32"/>
      <c r="D613" s="32"/>
      <c r="E613" s="34"/>
      <c r="F613" s="24"/>
    </row>
    <row r="614">
      <c r="A614" s="4"/>
      <c r="B614" s="4"/>
      <c r="C614" s="32"/>
      <c r="D614" s="32"/>
      <c r="E614" s="34"/>
      <c r="F614" s="24"/>
    </row>
    <row r="615">
      <c r="A615" s="4"/>
      <c r="B615" s="4"/>
      <c r="C615" s="32"/>
      <c r="D615" s="32"/>
      <c r="E615" s="34"/>
      <c r="F615" s="24"/>
    </row>
    <row r="616">
      <c r="A616" s="4"/>
      <c r="B616" s="4"/>
      <c r="C616" s="32"/>
      <c r="D616" s="32"/>
      <c r="E616" s="34"/>
      <c r="F616" s="24"/>
    </row>
    <row r="617">
      <c r="A617" s="4"/>
      <c r="B617" s="4"/>
      <c r="C617" s="32"/>
      <c r="D617" s="32"/>
      <c r="E617" s="34"/>
      <c r="F617" s="24"/>
    </row>
    <row r="618">
      <c r="A618" s="4"/>
      <c r="B618" s="4"/>
      <c r="C618" s="32"/>
      <c r="D618" s="32"/>
      <c r="E618" s="34"/>
      <c r="F618" s="24"/>
    </row>
    <row r="619">
      <c r="A619" s="4"/>
      <c r="B619" s="4"/>
      <c r="C619" s="32"/>
      <c r="D619" s="32"/>
      <c r="E619" s="34"/>
      <c r="F619" s="24"/>
    </row>
    <row r="620">
      <c r="A620" s="4"/>
      <c r="B620" s="4"/>
      <c r="C620" s="32"/>
      <c r="D620" s="32"/>
      <c r="E620" s="34"/>
      <c r="F620" s="24"/>
    </row>
    <row r="621">
      <c r="A621" s="4"/>
      <c r="B621" s="4"/>
      <c r="C621" s="32"/>
      <c r="D621" s="32"/>
      <c r="E621" s="34"/>
      <c r="F621" s="24"/>
    </row>
    <row r="622">
      <c r="A622" s="4"/>
      <c r="B622" s="4"/>
      <c r="C622" s="32"/>
      <c r="D622" s="32"/>
      <c r="E622" s="34"/>
      <c r="F622" s="24"/>
    </row>
    <row r="623">
      <c r="A623" s="4"/>
      <c r="B623" s="4"/>
      <c r="C623" s="32"/>
      <c r="D623" s="32"/>
      <c r="E623" s="34"/>
      <c r="F623" s="24"/>
    </row>
    <row r="624">
      <c r="A624" s="4"/>
      <c r="B624" s="4"/>
      <c r="C624" s="32"/>
      <c r="D624" s="32"/>
      <c r="E624" s="34"/>
      <c r="F624" s="24"/>
    </row>
    <row r="625">
      <c r="A625" s="4"/>
      <c r="B625" s="4"/>
      <c r="C625" s="32"/>
      <c r="D625" s="32"/>
      <c r="E625" s="34"/>
      <c r="F625" s="24"/>
    </row>
    <row r="626">
      <c r="A626" s="4"/>
      <c r="B626" s="4"/>
      <c r="C626" s="32"/>
      <c r="D626" s="32"/>
      <c r="E626" s="34"/>
      <c r="F626" s="24"/>
    </row>
    <row r="627">
      <c r="A627" s="4"/>
      <c r="B627" s="4"/>
      <c r="C627" s="32"/>
      <c r="D627" s="32"/>
      <c r="E627" s="34"/>
      <c r="F627" s="24"/>
    </row>
    <row r="628">
      <c r="A628" s="4"/>
      <c r="B628" s="4"/>
      <c r="C628" s="32"/>
      <c r="D628" s="32"/>
      <c r="E628" s="34"/>
      <c r="F628" s="24"/>
    </row>
    <row r="629">
      <c r="A629" s="4"/>
      <c r="B629" s="4"/>
      <c r="C629" s="32"/>
      <c r="D629" s="32"/>
      <c r="E629" s="34"/>
      <c r="F629" s="24"/>
    </row>
    <row r="630">
      <c r="A630" s="4"/>
      <c r="B630" s="4"/>
      <c r="C630" s="32"/>
      <c r="D630" s="32"/>
      <c r="E630" s="34"/>
      <c r="F630" s="24"/>
    </row>
    <row r="631">
      <c r="A631" s="4"/>
      <c r="B631" s="4"/>
      <c r="C631" s="32"/>
      <c r="D631" s="32"/>
      <c r="E631" s="34"/>
      <c r="F631" s="24"/>
    </row>
    <row r="632">
      <c r="A632" s="4"/>
      <c r="B632" s="4"/>
      <c r="C632" s="32"/>
      <c r="D632" s="32"/>
      <c r="E632" s="34"/>
      <c r="F632" s="24"/>
    </row>
    <row r="633">
      <c r="A633" s="4"/>
      <c r="B633" s="4"/>
      <c r="C633" s="32"/>
      <c r="D633" s="32"/>
      <c r="E633" s="34"/>
      <c r="F633" s="24"/>
    </row>
    <row r="634">
      <c r="A634" s="4"/>
      <c r="B634" s="4"/>
      <c r="C634" s="32"/>
      <c r="D634" s="32"/>
      <c r="E634" s="34"/>
      <c r="F634" s="24"/>
    </row>
    <row r="635">
      <c r="A635" s="4"/>
      <c r="B635" s="4"/>
      <c r="C635" s="32"/>
      <c r="D635" s="32"/>
      <c r="E635" s="34"/>
      <c r="F635" s="24"/>
    </row>
    <row r="636">
      <c r="A636" s="4"/>
      <c r="B636" s="4"/>
      <c r="C636" s="32"/>
      <c r="D636" s="32"/>
      <c r="E636" s="34"/>
      <c r="F636" s="24"/>
    </row>
    <row r="637">
      <c r="A637" s="4"/>
      <c r="B637" s="4"/>
      <c r="C637" s="32"/>
      <c r="D637" s="32"/>
      <c r="E637" s="34"/>
      <c r="F637" s="24"/>
    </row>
    <row r="638">
      <c r="A638" s="4"/>
      <c r="B638" s="4"/>
      <c r="C638" s="32"/>
      <c r="D638" s="32"/>
      <c r="E638" s="34"/>
      <c r="F638" s="24"/>
    </row>
    <row r="639">
      <c r="A639" s="4"/>
      <c r="B639" s="4"/>
      <c r="C639" s="32"/>
      <c r="D639" s="32"/>
      <c r="E639" s="34"/>
      <c r="F639" s="24"/>
    </row>
    <row r="640">
      <c r="A640" s="4"/>
      <c r="B640" s="4"/>
      <c r="C640" s="32"/>
      <c r="D640" s="32"/>
      <c r="E640" s="34"/>
      <c r="F640" s="24"/>
    </row>
    <row r="641">
      <c r="A641" s="4"/>
      <c r="B641" s="4"/>
      <c r="C641" s="32"/>
      <c r="D641" s="32"/>
      <c r="E641" s="34"/>
      <c r="F641" s="24"/>
    </row>
    <row r="642">
      <c r="A642" s="4"/>
      <c r="B642" s="4"/>
      <c r="C642" s="32"/>
      <c r="D642" s="32"/>
      <c r="E642" s="34"/>
      <c r="F642" s="24"/>
    </row>
    <row r="643">
      <c r="A643" s="4"/>
      <c r="B643" s="4"/>
      <c r="C643" s="32"/>
      <c r="D643" s="32"/>
      <c r="E643" s="34"/>
      <c r="F643" s="24"/>
    </row>
    <row r="644">
      <c r="A644" s="4"/>
      <c r="B644" s="4"/>
      <c r="C644" s="32"/>
      <c r="D644" s="32"/>
      <c r="E644" s="34"/>
      <c r="F644" s="24"/>
    </row>
    <row r="645">
      <c r="A645" s="4"/>
      <c r="B645" s="4"/>
      <c r="C645" s="32"/>
      <c r="D645" s="32"/>
      <c r="E645" s="34"/>
      <c r="F645" s="24"/>
    </row>
    <row r="646">
      <c r="A646" s="4"/>
      <c r="B646" s="4"/>
      <c r="C646" s="32"/>
      <c r="D646" s="32"/>
      <c r="E646" s="34"/>
      <c r="F646" s="24"/>
    </row>
    <row r="647">
      <c r="A647" s="4"/>
      <c r="B647" s="4"/>
      <c r="C647" s="32"/>
      <c r="D647" s="32"/>
      <c r="E647" s="34"/>
      <c r="F647" s="24"/>
    </row>
    <row r="648">
      <c r="A648" s="4"/>
      <c r="B648" s="4"/>
      <c r="C648" s="32"/>
      <c r="D648" s="32"/>
      <c r="E648" s="34"/>
      <c r="F648" s="24"/>
    </row>
    <row r="649">
      <c r="A649" s="4"/>
      <c r="B649" s="4"/>
      <c r="C649" s="32"/>
      <c r="D649" s="32"/>
      <c r="E649" s="34"/>
      <c r="F649" s="24"/>
    </row>
    <row r="650">
      <c r="A650" s="4"/>
      <c r="B650" s="4"/>
      <c r="C650" s="32"/>
      <c r="D650" s="32"/>
      <c r="E650" s="34"/>
      <c r="F650" s="24"/>
    </row>
    <row r="651">
      <c r="A651" s="4"/>
      <c r="B651" s="4"/>
      <c r="C651" s="32"/>
      <c r="D651" s="32"/>
      <c r="E651" s="34"/>
      <c r="F651" s="24"/>
    </row>
    <row r="652">
      <c r="A652" s="4"/>
      <c r="B652" s="4"/>
      <c r="C652" s="32"/>
      <c r="D652" s="32"/>
      <c r="E652" s="34"/>
      <c r="F652" s="24"/>
    </row>
    <row r="653">
      <c r="A653" s="4"/>
      <c r="B653" s="4"/>
      <c r="C653" s="32"/>
      <c r="D653" s="32"/>
      <c r="E653" s="34"/>
      <c r="F653" s="24"/>
    </row>
    <row r="654">
      <c r="A654" s="4"/>
      <c r="B654" s="4"/>
      <c r="C654" s="32"/>
      <c r="D654" s="32"/>
      <c r="E654" s="34"/>
      <c r="F654" s="24"/>
    </row>
    <row r="655">
      <c r="A655" s="4"/>
      <c r="B655" s="4"/>
      <c r="C655" s="32"/>
      <c r="D655" s="32"/>
      <c r="E655" s="34"/>
      <c r="F655" s="24"/>
    </row>
    <row r="656">
      <c r="A656" s="4"/>
      <c r="B656" s="4"/>
      <c r="C656" s="32"/>
      <c r="D656" s="32"/>
      <c r="E656" s="34"/>
      <c r="F656" s="24"/>
    </row>
    <row r="657">
      <c r="A657" s="4"/>
      <c r="B657" s="4"/>
      <c r="C657" s="32"/>
      <c r="D657" s="32"/>
      <c r="E657" s="34"/>
      <c r="F657" s="24"/>
    </row>
    <row r="658">
      <c r="A658" s="4"/>
      <c r="B658" s="4"/>
      <c r="C658" s="32"/>
      <c r="D658" s="32"/>
      <c r="E658" s="34"/>
      <c r="F658" s="24"/>
    </row>
    <row r="659">
      <c r="A659" s="4"/>
      <c r="B659" s="4"/>
      <c r="C659" s="32"/>
      <c r="D659" s="32"/>
      <c r="E659" s="34"/>
      <c r="F659" s="24"/>
    </row>
    <row r="660">
      <c r="A660" s="4"/>
      <c r="B660" s="4"/>
      <c r="C660" s="32"/>
      <c r="D660" s="32"/>
      <c r="E660" s="34"/>
      <c r="F660" s="24"/>
    </row>
    <row r="661">
      <c r="A661" s="4"/>
      <c r="B661" s="4"/>
      <c r="C661" s="32"/>
      <c r="D661" s="32"/>
      <c r="E661" s="34"/>
      <c r="F661" s="24"/>
    </row>
    <row r="662">
      <c r="A662" s="4"/>
      <c r="B662" s="4"/>
      <c r="C662" s="32"/>
      <c r="D662" s="32"/>
      <c r="E662" s="34"/>
      <c r="F662" s="24"/>
    </row>
    <row r="663">
      <c r="A663" s="4"/>
      <c r="B663" s="4"/>
      <c r="C663" s="32"/>
      <c r="D663" s="32"/>
      <c r="E663" s="34"/>
      <c r="F663" s="24"/>
    </row>
    <row r="664">
      <c r="A664" s="4"/>
      <c r="B664" s="4"/>
      <c r="C664" s="32"/>
      <c r="D664" s="32"/>
      <c r="E664" s="34"/>
      <c r="F664" s="24"/>
    </row>
    <row r="665">
      <c r="A665" s="4"/>
      <c r="B665" s="4"/>
      <c r="C665" s="32"/>
      <c r="D665" s="32"/>
      <c r="E665" s="34"/>
      <c r="F665" s="24"/>
    </row>
    <row r="666">
      <c r="A666" s="4"/>
      <c r="B666" s="4"/>
      <c r="C666" s="32"/>
      <c r="D666" s="32"/>
      <c r="E666" s="34"/>
      <c r="F666" s="24"/>
    </row>
    <row r="667">
      <c r="A667" s="4"/>
      <c r="B667" s="4"/>
      <c r="C667" s="32"/>
      <c r="D667" s="32"/>
      <c r="E667" s="34"/>
      <c r="F667" s="24"/>
    </row>
    <row r="668">
      <c r="A668" s="4"/>
      <c r="B668" s="4"/>
      <c r="C668" s="32"/>
      <c r="D668" s="32"/>
      <c r="E668" s="34"/>
      <c r="F668" s="24"/>
    </row>
    <row r="669">
      <c r="A669" s="4"/>
      <c r="B669" s="4"/>
      <c r="C669" s="32"/>
      <c r="D669" s="32"/>
      <c r="E669" s="34"/>
      <c r="F669" s="24"/>
    </row>
    <row r="670">
      <c r="A670" s="4"/>
      <c r="B670" s="4"/>
      <c r="C670" s="32"/>
      <c r="D670" s="32"/>
      <c r="E670" s="34"/>
      <c r="F670" s="24"/>
    </row>
    <row r="671">
      <c r="A671" s="4"/>
      <c r="B671" s="4"/>
      <c r="C671" s="32"/>
      <c r="D671" s="32"/>
      <c r="E671" s="34"/>
      <c r="F671" s="24"/>
    </row>
    <row r="672">
      <c r="A672" s="4"/>
      <c r="B672" s="4"/>
      <c r="C672" s="32"/>
      <c r="D672" s="32"/>
      <c r="E672" s="34"/>
      <c r="F672" s="24"/>
    </row>
    <row r="673">
      <c r="A673" s="4"/>
      <c r="B673" s="4"/>
      <c r="C673" s="32"/>
      <c r="D673" s="32"/>
      <c r="E673" s="34"/>
      <c r="F673" s="24"/>
    </row>
    <row r="674">
      <c r="A674" s="4"/>
      <c r="B674" s="4"/>
      <c r="C674" s="32"/>
      <c r="D674" s="32"/>
      <c r="E674" s="34"/>
      <c r="F674" s="24"/>
    </row>
    <row r="675">
      <c r="A675" s="4"/>
      <c r="B675" s="4"/>
      <c r="C675" s="32"/>
      <c r="D675" s="32"/>
      <c r="E675" s="34"/>
      <c r="F675" s="24"/>
    </row>
    <row r="676">
      <c r="A676" s="4"/>
      <c r="B676" s="4"/>
      <c r="C676" s="32"/>
      <c r="D676" s="32"/>
      <c r="E676" s="34"/>
      <c r="F676" s="24"/>
    </row>
    <row r="677">
      <c r="A677" s="4"/>
      <c r="B677" s="4"/>
      <c r="C677" s="32"/>
      <c r="D677" s="32"/>
      <c r="E677" s="34"/>
      <c r="F677" s="24"/>
    </row>
    <row r="678">
      <c r="A678" s="4"/>
      <c r="B678" s="4"/>
      <c r="C678" s="32"/>
      <c r="D678" s="32"/>
      <c r="E678" s="34"/>
      <c r="F678" s="24"/>
    </row>
    <row r="679">
      <c r="A679" s="4"/>
      <c r="B679" s="4"/>
      <c r="C679" s="32"/>
      <c r="D679" s="32"/>
      <c r="E679" s="34"/>
      <c r="F679" s="24"/>
    </row>
    <row r="680">
      <c r="A680" s="4"/>
      <c r="B680" s="4"/>
      <c r="C680" s="32"/>
      <c r="D680" s="32"/>
      <c r="E680" s="34"/>
      <c r="F680" s="24"/>
    </row>
    <row r="681">
      <c r="A681" s="4"/>
      <c r="B681" s="4"/>
      <c r="C681" s="32"/>
      <c r="D681" s="32"/>
      <c r="E681" s="34"/>
      <c r="F681" s="24"/>
    </row>
    <row r="682">
      <c r="A682" s="4"/>
      <c r="B682" s="4"/>
      <c r="C682" s="32"/>
      <c r="D682" s="32"/>
      <c r="E682" s="34"/>
      <c r="F682" s="24"/>
    </row>
    <row r="683">
      <c r="A683" s="4"/>
      <c r="B683" s="4"/>
      <c r="C683" s="32"/>
      <c r="D683" s="32"/>
      <c r="E683" s="34"/>
      <c r="F683" s="24"/>
    </row>
    <row r="684">
      <c r="A684" s="4"/>
      <c r="B684" s="4"/>
      <c r="C684" s="32"/>
      <c r="D684" s="32"/>
      <c r="E684" s="34"/>
      <c r="F684" s="24"/>
    </row>
    <row r="685">
      <c r="A685" s="4"/>
      <c r="B685" s="4"/>
      <c r="C685" s="32"/>
      <c r="D685" s="32"/>
      <c r="E685" s="34"/>
      <c r="F685" s="24"/>
    </row>
    <row r="686">
      <c r="A686" s="4"/>
      <c r="B686" s="4"/>
      <c r="C686" s="32"/>
      <c r="D686" s="32"/>
      <c r="E686" s="34"/>
      <c r="F686" s="24"/>
    </row>
    <row r="687">
      <c r="A687" s="4"/>
      <c r="B687" s="4"/>
      <c r="C687" s="32"/>
      <c r="D687" s="32"/>
      <c r="E687" s="34"/>
      <c r="F687" s="24"/>
    </row>
    <row r="688">
      <c r="A688" s="4"/>
      <c r="B688" s="4"/>
      <c r="C688" s="32"/>
      <c r="D688" s="32"/>
      <c r="E688" s="34"/>
      <c r="F688" s="24"/>
    </row>
    <row r="689">
      <c r="A689" s="4"/>
      <c r="B689" s="4"/>
      <c r="C689" s="32"/>
      <c r="D689" s="32"/>
      <c r="E689" s="34"/>
      <c r="F689" s="24"/>
    </row>
    <row r="690">
      <c r="A690" s="4"/>
      <c r="B690" s="4"/>
      <c r="C690" s="32"/>
      <c r="D690" s="32"/>
      <c r="E690" s="34"/>
      <c r="F690" s="24"/>
    </row>
    <row r="691">
      <c r="A691" s="4"/>
      <c r="B691" s="4"/>
      <c r="C691" s="32"/>
      <c r="D691" s="32"/>
      <c r="E691" s="34"/>
      <c r="F691" s="24"/>
    </row>
    <row r="692">
      <c r="A692" s="4"/>
      <c r="B692" s="4"/>
      <c r="C692" s="32"/>
      <c r="D692" s="32"/>
      <c r="E692" s="34"/>
      <c r="F692" s="24"/>
    </row>
    <row r="693">
      <c r="A693" s="4"/>
      <c r="B693" s="4"/>
      <c r="C693" s="32"/>
      <c r="D693" s="32"/>
      <c r="E693" s="34"/>
      <c r="F693" s="24"/>
    </row>
    <row r="694">
      <c r="A694" s="4"/>
      <c r="B694" s="4"/>
      <c r="C694" s="32"/>
      <c r="D694" s="32"/>
      <c r="E694" s="34"/>
      <c r="F694" s="24"/>
    </row>
    <row r="695">
      <c r="A695" s="4"/>
      <c r="B695" s="4"/>
      <c r="C695" s="32"/>
      <c r="D695" s="32"/>
      <c r="E695" s="34"/>
      <c r="F695" s="24"/>
    </row>
    <row r="696">
      <c r="A696" s="4"/>
      <c r="B696" s="4"/>
      <c r="C696" s="32"/>
      <c r="D696" s="32"/>
      <c r="E696" s="34"/>
      <c r="F696" s="24"/>
    </row>
    <row r="697">
      <c r="A697" s="4"/>
      <c r="B697" s="4"/>
      <c r="C697" s="32"/>
      <c r="D697" s="32"/>
      <c r="E697" s="34"/>
      <c r="F697" s="24"/>
    </row>
    <row r="698">
      <c r="A698" s="4"/>
      <c r="B698" s="4"/>
      <c r="C698" s="32"/>
      <c r="D698" s="32"/>
      <c r="E698" s="34"/>
      <c r="F698" s="24"/>
    </row>
    <row r="699">
      <c r="A699" s="4"/>
      <c r="B699" s="4"/>
      <c r="C699" s="32"/>
      <c r="D699" s="32"/>
      <c r="E699" s="34"/>
      <c r="F699" s="24"/>
    </row>
    <row r="700">
      <c r="A700" s="4"/>
      <c r="B700" s="4"/>
      <c r="C700" s="32"/>
      <c r="D700" s="32"/>
      <c r="E700" s="34"/>
      <c r="F700" s="24"/>
    </row>
    <row r="701">
      <c r="A701" s="4"/>
      <c r="B701" s="4"/>
      <c r="C701" s="32"/>
      <c r="D701" s="32"/>
      <c r="E701" s="34"/>
      <c r="F701" s="24"/>
    </row>
    <row r="702">
      <c r="A702" s="4"/>
      <c r="B702" s="4"/>
      <c r="C702" s="32"/>
      <c r="D702" s="32"/>
      <c r="E702" s="34"/>
      <c r="F702" s="24"/>
    </row>
    <row r="703">
      <c r="A703" s="4"/>
      <c r="B703" s="4"/>
      <c r="C703" s="32"/>
      <c r="D703" s="32"/>
      <c r="E703" s="34"/>
      <c r="F703" s="24"/>
    </row>
    <row r="704">
      <c r="A704" s="4"/>
      <c r="B704" s="4"/>
      <c r="C704" s="32"/>
      <c r="D704" s="32"/>
      <c r="E704" s="34"/>
      <c r="F704" s="24"/>
    </row>
    <row r="705">
      <c r="A705" s="4"/>
      <c r="B705" s="4"/>
      <c r="C705" s="32"/>
      <c r="D705" s="32"/>
      <c r="E705" s="34"/>
      <c r="F705" s="24"/>
    </row>
    <row r="706">
      <c r="A706" s="4"/>
      <c r="B706" s="4"/>
      <c r="C706" s="32"/>
      <c r="D706" s="32"/>
      <c r="E706" s="34"/>
      <c r="F706" s="24"/>
    </row>
    <row r="707">
      <c r="A707" s="4"/>
      <c r="B707" s="4"/>
      <c r="C707" s="32"/>
      <c r="D707" s="32"/>
      <c r="E707" s="34"/>
      <c r="F707" s="24"/>
    </row>
    <row r="708">
      <c r="A708" s="4"/>
      <c r="B708" s="4"/>
      <c r="C708" s="32"/>
      <c r="D708" s="32"/>
      <c r="E708" s="34"/>
      <c r="F708" s="24"/>
    </row>
    <row r="709">
      <c r="A709" s="4"/>
      <c r="B709" s="4"/>
      <c r="C709" s="32"/>
      <c r="D709" s="32"/>
      <c r="E709" s="34"/>
      <c r="F709" s="24"/>
    </row>
    <row r="710">
      <c r="A710" s="4"/>
      <c r="B710" s="4"/>
      <c r="C710" s="32"/>
      <c r="D710" s="32"/>
      <c r="E710" s="34"/>
      <c r="F710" s="24"/>
    </row>
    <row r="711">
      <c r="A711" s="4"/>
      <c r="B711" s="4"/>
      <c r="C711" s="32"/>
      <c r="D711" s="32"/>
      <c r="E711" s="34"/>
      <c r="F711" s="24"/>
    </row>
    <row r="712">
      <c r="A712" s="4"/>
      <c r="B712" s="4"/>
      <c r="C712" s="32"/>
      <c r="D712" s="32"/>
      <c r="E712" s="34"/>
      <c r="F712" s="24"/>
    </row>
    <row r="713">
      <c r="A713" s="4"/>
      <c r="B713" s="4"/>
      <c r="C713" s="32"/>
      <c r="D713" s="32"/>
      <c r="E713" s="34"/>
      <c r="F713" s="24"/>
    </row>
    <row r="714">
      <c r="A714" s="4"/>
      <c r="B714" s="4"/>
      <c r="C714" s="32"/>
      <c r="D714" s="32"/>
      <c r="E714" s="34"/>
      <c r="F714" s="24"/>
    </row>
    <row r="715">
      <c r="A715" s="4"/>
      <c r="B715" s="4"/>
      <c r="C715" s="32"/>
      <c r="D715" s="32"/>
      <c r="E715" s="34"/>
      <c r="F715" s="24"/>
    </row>
    <row r="716">
      <c r="A716" s="4"/>
      <c r="B716" s="4"/>
      <c r="C716" s="32"/>
      <c r="D716" s="32"/>
      <c r="E716" s="34"/>
      <c r="F716" s="24"/>
    </row>
    <row r="717">
      <c r="A717" s="4"/>
      <c r="B717" s="4"/>
      <c r="C717" s="32"/>
      <c r="D717" s="32"/>
      <c r="E717" s="34"/>
      <c r="F717" s="24"/>
    </row>
    <row r="718">
      <c r="A718" s="4"/>
      <c r="B718" s="4"/>
      <c r="C718" s="32"/>
      <c r="D718" s="32"/>
      <c r="E718" s="34"/>
      <c r="F718" s="24"/>
    </row>
    <row r="719">
      <c r="A719" s="4"/>
      <c r="B719" s="4"/>
      <c r="C719" s="32"/>
      <c r="D719" s="32"/>
      <c r="E719" s="34"/>
      <c r="F719" s="24"/>
    </row>
    <row r="720">
      <c r="A720" s="4"/>
      <c r="B720" s="4"/>
      <c r="C720" s="32"/>
      <c r="D720" s="32"/>
      <c r="E720" s="34"/>
      <c r="F720" s="24"/>
    </row>
    <row r="721">
      <c r="A721" s="4"/>
      <c r="B721" s="4"/>
      <c r="C721" s="32"/>
      <c r="D721" s="32"/>
      <c r="E721" s="34"/>
      <c r="F721" s="24"/>
    </row>
    <row r="722">
      <c r="A722" s="4"/>
      <c r="B722" s="4"/>
      <c r="C722" s="32"/>
      <c r="D722" s="32"/>
      <c r="E722" s="34"/>
      <c r="F722" s="24"/>
    </row>
    <row r="723">
      <c r="A723" s="4"/>
      <c r="B723" s="4"/>
      <c r="C723" s="32"/>
      <c r="D723" s="32"/>
      <c r="E723" s="34"/>
      <c r="F723" s="24"/>
    </row>
    <row r="724">
      <c r="A724" s="4"/>
      <c r="B724" s="4"/>
      <c r="C724" s="32"/>
      <c r="D724" s="32"/>
      <c r="E724" s="34"/>
      <c r="F724" s="24"/>
    </row>
    <row r="725">
      <c r="A725" s="4"/>
      <c r="B725" s="4"/>
      <c r="C725" s="32"/>
      <c r="D725" s="32"/>
      <c r="E725" s="34"/>
      <c r="F725" s="24"/>
    </row>
    <row r="726">
      <c r="A726" s="4"/>
      <c r="B726" s="4"/>
      <c r="C726" s="32"/>
      <c r="D726" s="32"/>
      <c r="E726" s="34"/>
      <c r="F726" s="24"/>
    </row>
    <row r="727">
      <c r="A727" s="4"/>
      <c r="B727" s="4"/>
      <c r="C727" s="32"/>
      <c r="D727" s="32"/>
      <c r="E727" s="34"/>
      <c r="F727" s="24"/>
    </row>
    <row r="728">
      <c r="A728" s="4"/>
      <c r="B728" s="4"/>
      <c r="C728" s="32"/>
      <c r="D728" s="32"/>
      <c r="E728" s="34"/>
      <c r="F728" s="24"/>
    </row>
    <row r="729">
      <c r="A729" s="4"/>
      <c r="B729" s="4"/>
      <c r="C729" s="32"/>
      <c r="D729" s="32"/>
      <c r="E729" s="34"/>
      <c r="F729" s="24"/>
    </row>
    <row r="730">
      <c r="A730" s="4"/>
      <c r="B730" s="4"/>
      <c r="C730" s="32"/>
      <c r="D730" s="32"/>
      <c r="E730" s="34"/>
      <c r="F730" s="24"/>
    </row>
    <row r="731">
      <c r="A731" s="4"/>
      <c r="B731" s="4"/>
      <c r="C731" s="32"/>
      <c r="D731" s="32"/>
      <c r="E731" s="34"/>
      <c r="F731" s="24"/>
    </row>
    <row r="732">
      <c r="A732" s="4"/>
      <c r="B732" s="4"/>
      <c r="C732" s="32"/>
      <c r="D732" s="32"/>
      <c r="E732" s="34"/>
      <c r="F732" s="24"/>
    </row>
    <row r="733">
      <c r="A733" s="4"/>
      <c r="B733" s="4"/>
      <c r="C733" s="32"/>
      <c r="D733" s="32"/>
      <c r="E733" s="34"/>
      <c r="F733" s="24"/>
    </row>
    <row r="734">
      <c r="A734" s="4"/>
      <c r="B734" s="4"/>
      <c r="C734" s="32"/>
      <c r="D734" s="32"/>
      <c r="E734" s="34"/>
      <c r="F734" s="24"/>
    </row>
    <row r="735">
      <c r="A735" s="4"/>
      <c r="B735" s="4"/>
      <c r="C735" s="32"/>
      <c r="D735" s="32"/>
      <c r="E735" s="34"/>
      <c r="F735" s="24"/>
    </row>
    <row r="736">
      <c r="A736" s="4"/>
      <c r="B736" s="4"/>
      <c r="C736" s="32"/>
      <c r="D736" s="32"/>
      <c r="E736" s="34"/>
      <c r="F736" s="24"/>
    </row>
    <row r="737">
      <c r="A737" s="4"/>
      <c r="B737" s="4"/>
      <c r="C737" s="32"/>
      <c r="D737" s="32"/>
      <c r="E737" s="34"/>
      <c r="F737" s="24"/>
    </row>
    <row r="738">
      <c r="A738" s="4"/>
      <c r="B738" s="4"/>
      <c r="C738" s="32"/>
      <c r="D738" s="32"/>
      <c r="E738" s="34"/>
      <c r="F738" s="24"/>
    </row>
    <row r="739">
      <c r="A739" s="4"/>
      <c r="B739" s="4"/>
      <c r="C739" s="32"/>
      <c r="D739" s="32"/>
      <c r="E739" s="34"/>
      <c r="F739" s="24"/>
    </row>
    <row r="740">
      <c r="A740" s="4"/>
      <c r="B740" s="4"/>
      <c r="C740" s="32"/>
      <c r="D740" s="32"/>
      <c r="E740" s="34"/>
      <c r="F740" s="24"/>
    </row>
    <row r="741">
      <c r="A741" s="4"/>
      <c r="B741" s="4"/>
      <c r="C741" s="32"/>
      <c r="D741" s="32"/>
      <c r="E741" s="34"/>
      <c r="F741" s="24"/>
    </row>
    <row r="742">
      <c r="A742" s="4"/>
      <c r="B742" s="4"/>
      <c r="C742" s="32"/>
      <c r="D742" s="32"/>
      <c r="E742" s="34"/>
      <c r="F742" s="24"/>
    </row>
    <row r="743">
      <c r="A743" s="4"/>
      <c r="B743" s="4"/>
      <c r="C743" s="32"/>
      <c r="D743" s="32"/>
      <c r="E743" s="34"/>
      <c r="F743" s="24"/>
    </row>
    <row r="744">
      <c r="A744" s="4"/>
      <c r="B744" s="4"/>
      <c r="C744" s="32"/>
      <c r="D744" s="32"/>
      <c r="E744" s="34"/>
      <c r="F744" s="24"/>
    </row>
    <row r="745">
      <c r="A745" s="4"/>
      <c r="B745" s="4"/>
      <c r="C745" s="32"/>
      <c r="D745" s="32"/>
      <c r="E745" s="34"/>
      <c r="F745" s="24"/>
    </row>
    <row r="746">
      <c r="A746" s="4"/>
      <c r="B746" s="4"/>
      <c r="C746" s="32"/>
      <c r="D746" s="32"/>
      <c r="E746" s="34"/>
      <c r="F746" s="24"/>
    </row>
    <row r="747">
      <c r="A747" s="4"/>
      <c r="B747" s="4"/>
      <c r="C747" s="32"/>
      <c r="D747" s="32"/>
      <c r="E747" s="34"/>
      <c r="F747" s="24"/>
    </row>
    <row r="748">
      <c r="A748" s="4"/>
      <c r="B748" s="4"/>
      <c r="C748" s="32"/>
      <c r="D748" s="32"/>
      <c r="E748" s="34"/>
      <c r="F748" s="24"/>
    </row>
    <row r="749">
      <c r="A749" s="4"/>
      <c r="B749" s="4"/>
      <c r="C749" s="32"/>
      <c r="D749" s="32"/>
      <c r="E749" s="34"/>
      <c r="F749" s="24"/>
    </row>
    <row r="750">
      <c r="A750" s="4"/>
      <c r="B750" s="4"/>
      <c r="C750" s="32"/>
      <c r="D750" s="32"/>
      <c r="E750" s="34"/>
      <c r="F750" s="24"/>
    </row>
    <row r="751">
      <c r="A751" s="4"/>
      <c r="B751" s="4"/>
      <c r="C751" s="32"/>
      <c r="D751" s="32"/>
      <c r="E751" s="34"/>
      <c r="F751" s="24"/>
    </row>
    <row r="752">
      <c r="A752" s="4"/>
      <c r="B752" s="4"/>
      <c r="C752" s="32"/>
      <c r="D752" s="32"/>
      <c r="E752" s="34"/>
      <c r="F752" s="24"/>
    </row>
    <row r="753">
      <c r="A753" s="4"/>
      <c r="B753" s="4"/>
      <c r="C753" s="32"/>
      <c r="D753" s="32"/>
      <c r="E753" s="34"/>
      <c r="F753" s="24"/>
    </row>
    <row r="754">
      <c r="A754" s="4"/>
      <c r="B754" s="4"/>
      <c r="C754" s="32"/>
      <c r="D754" s="32"/>
      <c r="E754" s="34"/>
      <c r="F754" s="24"/>
    </row>
    <row r="755">
      <c r="A755" s="4"/>
      <c r="B755" s="4"/>
      <c r="C755" s="32"/>
      <c r="D755" s="32"/>
      <c r="E755" s="34"/>
      <c r="F755" s="24"/>
    </row>
    <row r="756">
      <c r="A756" s="4"/>
      <c r="B756" s="4"/>
      <c r="C756" s="32"/>
      <c r="D756" s="32"/>
      <c r="E756" s="34"/>
      <c r="F756" s="24"/>
    </row>
    <row r="757">
      <c r="A757" s="4"/>
      <c r="B757" s="4"/>
      <c r="C757" s="32"/>
      <c r="D757" s="32"/>
      <c r="E757" s="34"/>
      <c r="F757" s="24"/>
    </row>
    <row r="758">
      <c r="A758" s="4"/>
      <c r="B758" s="4"/>
      <c r="C758" s="32"/>
      <c r="D758" s="32"/>
      <c r="E758" s="34"/>
      <c r="F758" s="24"/>
    </row>
    <row r="759">
      <c r="A759" s="4"/>
      <c r="B759" s="4"/>
      <c r="C759" s="32"/>
      <c r="D759" s="32"/>
      <c r="E759" s="34"/>
      <c r="F759" s="24"/>
    </row>
    <row r="760">
      <c r="A760" s="4"/>
      <c r="B760" s="4"/>
      <c r="C760" s="32"/>
      <c r="D760" s="32"/>
      <c r="E760" s="34"/>
      <c r="F760" s="24"/>
    </row>
    <row r="761">
      <c r="A761" s="4"/>
      <c r="B761" s="4"/>
      <c r="C761" s="32"/>
      <c r="D761" s="32"/>
      <c r="E761" s="34"/>
      <c r="F761" s="24"/>
    </row>
    <row r="762">
      <c r="A762" s="4"/>
      <c r="B762" s="4"/>
      <c r="C762" s="32"/>
      <c r="D762" s="32"/>
      <c r="E762" s="34"/>
      <c r="F762" s="24"/>
    </row>
    <row r="763">
      <c r="A763" s="4"/>
      <c r="B763" s="4"/>
      <c r="C763" s="32"/>
      <c r="D763" s="32"/>
      <c r="E763" s="34"/>
      <c r="F763" s="24"/>
    </row>
    <row r="764">
      <c r="A764" s="4"/>
      <c r="B764" s="4"/>
      <c r="C764" s="32"/>
      <c r="D764" s="32"/>
      <c r="E764" s="34"/>
      <c r="F764" s="24"/>
    </row>
    <row r="765">
      <c r="A765" s="4"/>
      <c r="B765" s="4"/>
      <c r="C765" s="32"/>
      <c r="D765" s="32"/>
      <c r="E765" s="34"/>
      <c r="F765" s="24"/>
    </row>
    <row r="766">
      <c r="A766" s="4"/>
      <c r="B766" s="4"/>
      <c r="C766" s="32"/>
      <c r="D766" s="32"/>
      <c r="E766" s="34"/>
      <c r="F766" s="24"/>
    </row>
    <row r="767">
      <c r="A767" s="4"/>
      <c r="B767" s="4"/>
      <c r="C767" s="32"/>
      <c r="D767" s="32"/>
      <c r="E767" s="34"/>
      <c r="F767" s="24"/>
    </row>
    <row r="768">
      <c r="A768" s="4"/>
      <c r="B768" s="4"/>
      <c r="C768" s="32"/>
      <c r="D768" s="32"/>
      <c r="E768" s="34"/>
      <c r="F768" s="24"/>
    </row>
    <row r="769">
      <c r="A769" s="4"/>
      <c r="B769" s="4"/>
      <c r="C769" s="32"/>
      <c r="D769" s="32"/>
      <c r="E769" s="34"/>
      <c r="F769" s="24"/>
    </row>
    <row r="770">
      <c r="A770" s="4"/>
      <c r="B770" s="4"/>
      <c r="C770" s="32"/>
      <c r="D770" s="32"/>
      <c r="E770" s="34"/>
      <c r="F770" s="24"/>
    </row>
    <row r="771">
      <c r="A771" s="4"/>
      <c r="B771" s="4"/>
      <c r="C771" s="32"/>
      <c r="D771" s="32"/>
      <c r="E771" s="34"/>
      <c r="F771" s="24"/>
    </row>
    <row r="772">
      <c r="A772" s="4"/>
      <c r="B772" s="4"/>
      <c r="C772" s="32"/>
      <c r="D772" s="32"/>
      <c r="E772" s="34"/>
      <c r="F772" s="24"/>
    </row>
    <row r="773">
      <c r="A773" s="4"/>
      <c r="B773" s="4"/>
      <c r="C773" s="32"/>
      <c r="D773" s="32"/>
      <c r="E773" s="34"/>
      <c r="F773" s="24"/>
    </row>
    <row r="774">
      <c r="A774" s="4"/>
      <c r="B774" s="4"/>
      <c r="C774" s="32"/>
      <c r="D774" s="32"/>
      <c r="E774" s="34"/>
      <c r="F774" s="24"/>
    </row>
    <row r="775">
      <c r="A775" s="4"/>
      <c r="B775" s="4"/>
      <c r="C775" s="32"/>
      <c r="D775" s="32"/>
      <c r="E775" s="34"/>
      <c r="F775" s="24"/>
    </row>
    <row r="776">
      <c r="A776" s="4"/>
      <c r="B776" s="4"/>
      <c r="C776" s="32"/>
      <c r="D776" s="32"/>
      <c r="E776" s="34"/>
      <c r="F776" s="24"/>
    </row>
    <row r="777">
      <c r="A777" s="4"/>
      <c r="B777" s="4"/>
      <c r="C777" s="32"/>
      <c r="D777" s="32"/>
      <c r="E777" s="34"/>
      <c r="F777" s="24"/>
    </row>
    <row r="778">
      <c r="A778" s="4"/>
      <c r="B778" s="4"/>
      <c r="C778" s="32"/>
      <c r="D778" s="32"/>
      <c r="E778" s="34"/>
      <c r="F778" s="24"/>
    </row>
    <row r="779">
      <c r="A779" s="4"/>
      <c r="B779" s="4"/>
      <c r="C779" s="32"/>
      <c r="D779" s="32"/>
      <c r="E779" s="34"/>
      <c r="F779" s="24"/>
    </row>
    <row r="780">
      <c r="A780" s="4"/>
      <c r="B780" s="4"/>
      <c r="C780" s="32"/>
      <c r="D780" s="32"/>
      <c r="E780" s="34"/>
      <c r="F780" s="24"/>
    </row>
    <row r="781">
      <c r="A781" s="4"/>
      <c r="B781" s="4"/>
      <c r="C781" s="32"/>
      <c r="D781" s="32"/>
      <c r="E781" s="34"/>
      <c r="F781" s="24"/>
    </row>
    <row r="782">
      <c r="A782" s="4"/>
      <c r="B782" s="4"/>
      <c r="C782" s="32"/>
      <c r="D782" s="32"/>
      <c r="E782" s="34"/>
      <c r="F782" s="24"/>
    </row>
    <row r="783">
      <c r="A783" s="4"/>
      <c r="B783" s="4"/>
      <c r="C783" s="32"/>
      <c r="D783" s="32"/>
      <c r="E783" s="34"/>
      <c r="F783" s="24"/>
    </row>
    <row r="784">
      <c r="A784" s="4"/>
      <c r="B784" s="4"/>
      <c r="C784" s="32"/>
      <c r="D784" s="32"/>
      <c r="E784" s="34"/>
      <c r="F784" s="24"/>
    </row>
    <row r="785">
      <c r="A785" s="4"/>
      <c r="B785" s="4"/>
      <c r="C785" s="32"/>
      <c r="D785" s="32"/>
      <c r="E785" s="34"/>
      <c r="F785" s="24"/>
    </row>
    <row r="786">
      <c r="A786" s="4"/>
      <c r="B786" s="4"/>
      <c r="C786" s="32"/>
      <c r="D786" s="32"/>
      <c r="E786" s="34"/>
      <c r="F786" s="24"/>
    </row>
    <row r="787">
      <c r="A787" s="4"/>
      <c r="B787" s="4"/>
      <c r="C787" s="32"/>
      <c r="D787" s="32"/>
      <c r="E787" s="34"/>
      <c r="F787" s="24"/>
    </row>
    <row r="788">
      <c r="A788" s="4"/>
      <c r="B788" s="4"/>
      <c r="C788" s="32"/>
      <c r="D788" s="32"/>
      <c r="E788" s="34"/>
      <c r="F788" s="24"/>
    </row>
    <row r="789">
      <c r="A789" s="4"/>
      <c r="B789" s="4"/>
      <c r="C789" s="32"/>
      <c r="D789" s="32"/>
      <c r="E789" s="34"/>
      <c r="F789" s="24"/>
    </row>
    <row r="790">
      <c r="A790" s="4"/>
      <c r="B790" s="4"/>
      <c r="C790" s="32"/>
      <c r="D790" s="32"/>
      <c r="E790" s="34"/>
      <c r="F790" s="24"/>
    </row>
    <row r="791">
      <c r="A791" s="4"/>
      <c r="B791" s="4"/>
      <c r="C791" s="32"/>
      <c r="D791" s="32"/>
      <c r="E791" s="34"/>
      <c r="F791" s="24"/>
    </row>
    <row r="792">
      <c r="A792" s="4"/>
      <c r="B792" s="4"/>
      <c r="C792" s="32"/>
      <c r="D792" s="32"/>
      <c r="E792" s="34"/>
      <c r="F792" s="24"/>
    </row>
    <row r="793">
      <c r="A793" s="4"/>
      <c r="B793" s="4"/>
      <c r="C793" s="32"/>
      <c r="D793" s="32"/>
      <c r="E793" s="34"/>
      <c r="F793" s="24"/>
    </row>
    <row r="794">
      <c r="A794" s="4"/>
      <c r="B794" s="4"/>
      <c r="C794" s="32"/>
      <c r="D794" s="32"/>
      <c r="E794" s="34"/>
      <c r="F794" s="24"/>
    </row>
    <row r="795">
      <c r="A795" s="4"/>
      <c r="B795" s="4"/>
      <c r="C795" s="32"/>
      <c r="D795" s="32"/>
      <c r="E795" s="34"/>
      <c r="F795" s="24"/>
    </row>
    <row r="796">
      <c r="A796" s="4"/>
      <c r="B796" s="4"/>
      <c r="C796" s="32"/>
      <c r="D796" s="32"/>
      <c r="E796" s="34"/>
      <c r="F796" s="24"/>
    </row>
    <row r="797">
      <c r="A797" s="4"/>
      <c r="B797" s="4"/>
      <c r="C797" s="32"/>
      <c r="D797" s="32"/>
      <c r="E797" s="34"/>
      <c r="F797" s="24"/>
    </row>
    <row r="798">
      <c r="A798" s="4"/>
      <c r="B798" s="4"/>
      <c r="C798" s="32"/>
      <c r="D798" s="32"/>
      <c r="E798" s="34"/>
      <c r="F798" s="24"/>
    </row>
    <row r="799">
      <c r="A799" s="4"/>
      <c r="B799" s="4"/>
      <c r="C799" s="32"/>
      <c r="D799" s="32"/>
      <c r="E799" s="34"/>
      <c r="F799" s="24"/>
    </row>
    <row r="800">
      <c r="A800" s="4"/>
      <c r="B800" s="4"/>
      <c r="C800" s="32"/>
      <c r="D800" s="32"/>
      <c r="E800" s="34"/>
      <c r="F800" s="24"/>
    </row>
    <row r="801">
      <c r="A801" s="4"/>
      <c r="B801" s="4"/>
      <c r="C801" s="32"/>
      <c r="D801" s="32"/>
      <c r="E801" s="34"/>
      <c r="F801" s="24"/>
    </row>
    <row r="802">
      <c r="A802" s="4"/>
      <c r="B802" s="4"/>
      <c r="C802" s="32"/>
      <c r="D802" s="32"/>
      <c r="E802" s="34"/>
      <c r="F802" s="24"/>
    </row>
    <row r="803">
      <c r="A803" s="4"/>
      <c r="B803" s="4"/>
      <c r="C803" s="32"/>
      <c r="D803" s="32"/>
      <c r="E803" s="34"/>
      <c r="F803" s="24"/>
    </row>
    <row r="804">
      <c r="A804" s="4"/>
      <c r="B804" s="4"/>
      <c r="C804" s="32"/>
      <c r="D804" s="32"/>
      <c r="E804" s="34"/>
      <c r="F804" s="24"/>
    </row>
    <row r="805">
      <c r="A805" s="4"/>
      <c r="B805" s="4"/>
      <c r="C805" s="32"/>
      <c r="D805" s="32"/>
      <c r="E805" s="34"/>
      <c r="F805" s="24"/>
    </row>
    <row r="806">
      <c r="A806" s="4"/>
      <c r="B806" s="4"/>
      <c r="C806" s="32"/>
      <c r="D806" s="32"/>
      <c r="E806" s="34"/>
      <c r="F806" s="24"/>
    </row>
    <row r="807">
      <c r="A807" s="4"/>
      <c r="B807" s="4"/>
      <c r="C807" s="32"/>
      <c r="D807" s="32"/>
      <c r="E807" s="34"/>
      <c r="F807" s="24"/>
    </row>
    <row r="808">
      <c r="A808" s="4"/>
      <c r="B808" s="4"/>
      <c r="C808" s="32"/>
      <c r="D808" s="32"/>
      <c r="E808" s="34"/>
      <c r="F808" s="24"/>
    </row>
    <row r="809">
      <c r="A809" s="4"/>
      <c r="B809" s="4"/>
      <c r="C809" s="32"/>
      <c r="D809" s="32"/>
      <c r="E809" s="34"/>
      <c r="F809" s="24"/>
    </row>
    <row r="810">
      <c r="A810" s="4"/>
      <c r="B810" s="4"/>
      <c r="C810" s="32"/>
      <c r="D810" s="32"/>
      <c r="E810" s="34"/>
      <c r="F810" s="24"/>
    </row>
    <row r="811">
      <c r="A811" s="4"/>
      <c r="B811" s="4"/>
      <c r="C811" s="32"/>
      <c r="D811" s="32"/>
      <c r="E811" s="34"/>
      <c r="F811" s="24"/>
    </row>
    <row r="812">
      <c r="A812" s="4"/>
      <c r="B812" s="4"/>
      <c r="C812" s="32"/>
      <c r="D812" s="32"/>
      <c r="E812" s="34"/>
      <c r="F812" s="24"/>
    </row>
    <row r="813">
      <c r="A813" s="4"/>
      <c r="B813" s="4"/>
      <c r="C813" s="32"/>
      <c r="D813" s="32"/>
      <c r="E813" s="34"/>
      <c r="F813" s="24"/>
    </row>
    <row r="814">
      <c r="A814" s="4"/>
      <c r="B814" s="4"/>
      <c r="C814" s="32"/>
      <c r="D814" s="32"/>
      <c r="E814" s="34"/>
      <c r="F814" s="24"/>
    </row>
    <row r="815">
      <c r="A815" s="4"/>
      <c r="B815" s="4"/>
      <c r="C815" s="32"/>
      <c r="D815" s="32"/>
      <c r="E815" s="34"/>
      <c r="F815" s="24"/>
    </row>
    <row r="816">
      <c r="A816" s="4"/>
      <c r="B816" s="4"/>
      <c r="C816" s="32"/>
      <c r="D816" s="32"/>
      <c r="E816" s="34"/>
      <c r="F816" s="24"/>
    </row>
    <row r="817">
      <c r="A817" s="4"/>
      <c r="B817" s="4"/>
      <c r="C817" s="32"/>
      <c r="D817" s="32"/>
      <c r="E817" s="34"/>
      <c r="F817" s="24"/>
    </row>
    <row r="818">
      <c r="A818" s="4"/>
      <c r="B818" s="4"/>
      <c r="C818" s="32"/>
      <c r="D818" s="32"/>
      <c r="E818" s="34"/>
      <c r="F818" s="24"/>
    </row>
    <row r="819">
      <c r="A819" s="4"/>
      <c r="B819" s="4"/>
      <c r="C819" s="32"/>
      <c r="D819" s="32"/>
      <c r="E819" s="34"/>
      <c r="F819" s="24"/>
    </row>
    <row r="820">
      <c r="A820" s="4"/>
      <c r="B820" s="4"/>
      <c r="C820" s="32"/>
      <c r="D820" s="32"/>
      <c r="E820" s="34"/>
      <c r="F820" s="24"/>
    </row>
    <row r="821">
      <c r="A821" s="4"/>
      <c r="B821" s="4"/>
      <c r="C821" s="32"/>
      <c r="D821" s="32"/>
      <c r="E821" s="34"/>
      <c r="F821" s="24"/>
    </row>
    <row r="822">
      <c r="A822" s="4"/>
      <c r="B822" s="4"/>
      <c r="C822" s="32"/>
      <c r="D822" s="32"/>
      <c r="E822" s="34"/>
      <c r="F822" s="24"/>
    </row>
    <row r="823">
      <c r="A823" s="4"/>
      <c r="B823" s="4"/>
      <c r="C823" s="32"/>
      <c r="D823" s="32"/>
      <c r="E823" s="34"/>
      <c r="F823" s="24"/>
    </row>
    <row r="824">
      <c r="A824" s="4"/>
      <c r="B824" s="4"/>
      <c r="C824" s="32"/>
      <c r="D824" s="32"/>
      <c r="E824" s="34"/>
      <c r="F824" s="24"/>
    </row>
    <row r="825">
      <c r="A825" s="4"/>
      <c r="B825" s="4"/>
      <c r="C825" s="32"/>
      <c r="D825" s="32"/>
      <c r="E825" s="34"/>
      <c r="F825" s="24"/>
    </row>
    <row r="826">
      <c r="A826" s="4"/>
      <c r="B826" s="4"/>
      <c r="C826" s="32"/>
      <c r="D826" s="32"/>
      <c r="E826" s="34"/>
      <c r="F826" s="24"/>
    </row>
    <row r="827">
      <c r="A827" s="4"/>
      <c r="B827" s="4"/>
      <c r="C827" s="32"/>
      <c r="D827" s="32"/>
      <c r="E827" s="34"/>
      <c r="F827" s="24"/>
    </row>
    <row r="828">
      <c r="A828" s="4"/>
      <c r="B828" s="4"/>
      <c r="C828" s="32"/>
      <c r="D828" s="32"/>
      <c r="E828" s="34"/>
      <c r="F828" s="24"/>
    </row>
    <row r="829">
      <c r="A829" s="4"/>
      <c r="B829" s="4"/>
      <c r="C829" s="32"/>
      <c r="D829" s="32"/>
      <c r="E829" s="34"/>
      <c r="F829" s="24"/>
    </row>
    <row r="830">
      <c r="A830" s="4"/>
      <c r="B830" s="4"/>
      <c r="C830" s="32"/>
      <c r="D830" s="32"/>
      <c r="E830" s="34"/>
      <c r="F830" s="24"/>
    </row>
    <row r="831">
      <c r="A831" s="4"/>
      <c r="B831" s="4"/>
      <c r="C831" s="32"/>
      <c r="D831" s="32"/>
      <c r="E831" s="34"/>
      <c r="F831" s="24"/>
    </row>
    <row r="832">
      <c r="A832" s="4"/>
      <c r="B832" s="4"/>
      <c r="C832" s="32"/>
      <c r="D832" s="32"/>
      <c r="E832" s="34"/>
      <c r="F832" s="24"/>
    </row>
    <row r="833">
      <c r="A833" s="4"/>
      <c r="B833" s="4"/>
      <c r="C833" s="32"/>
      <c r="D833" s="32"/>
      <c r="E833" s="34"/>
      <c r="F833" s="24"/>
    </row>
    <row r="834">
      <c r="A834" s="4"/>
      <c r="B834" s="4"/>
      <c r="C834" s="32"/>
      <c r="D834" s="32"/>
      <c r="E834" s="34"/>
      <c r="F834" s="24"/>
    </row>
    <row r="835">
      <c r="A835" s="4"/>
      <c r="B835" s="4"/>
      <c r="C835" s="32"/>
      <c r="D835" s="32"/>
      <c r="E835" s="34"/>
      <c r="F835" s="24"/>
    </row>
    <row r="836">
      <c r="A836" s="4"/>
      <c r="B836" s="4"/>
      <c r="C836" s="32"/>
      <c r="D836" s="32"/>
      <c r="E836" s="34"/>
      <c r="F836" s="24"/>
    </row>
    <row r="837">
      <c r="A837" s="4"/>
      <c r="B837" s="4"/>
      <c r="C837" s="32"/>
      <c r="D837" s="32"/>
      <c r="E837" s="34"/>
      <c r="F837" s="24"/>
    </row>
    <row r="838">
      <c r="A838" s="4"/>
      <c r="B838" s="4"/>
      <c r="C838" s="32"/>
      <c r="D838" s="32"/>
      <c r="E838" s="34"/>
      <c r="F838" s="24"/>
    </row>
    <row r="839">
      <c r="A839" s="4"/>
      <c r="B839" s="4"/>
      <c r="C839" s="32"/>
      <c r="D839" s="32"/>
      <c r="E839" s="34"/>
      <c r="F839" s="24"/>
    </row>
    <row r="840">
      <c r="A840" s="4"/>
      <c r="B840" s="4"/>
      <c r="C840" s="32"/>
      <c r="D840" s="32"/>
      <c r="E840" s="34"/>
      <c r="F840" s="24"/>
    </row>
    <row r="841">
      <c r="A841" s="4"/>
      <c r="B841" s="4"/>
      <c r="C841" s="32"/>
      <c r="D841" s="32"/>
      <c r="E841" s="34"/>
      <c r="F841" s="24"/>
    </row>
    <row r="842">
      <c r="A842" s="4"/>
      <c r="B842" s="4"/>
      <c r="C842" s="32"/>
      <c r="D842" s="32"/>
      <c r="E842" s="34"/>
      <c r="F842" s="24"/>
    </row>
    <row r="843">
      <c r="A843" s="4"/>
      <c r="B843" s="4"/>
      <c r="C843" s="32"/>
      <c r="D843" s="32"/>
      <c r="E843" s="34"/>
      <c r="F843" s="24"/>
    </row>
    <row r="844">
      <c r="A844" s="4"/>
      <c r="B844" s="4"/>
      <c r="C844" s="32"/>
      <c r="D844" s="32"/>
      <c r="E844" s="34"/>
      <c r="F844" s="24"/>
    </row>
    <row r="845">
      <c r="A845" s="4"/>
      <c r="B845" s="4"/>
      <c r="C845" s="32"/>
      <c r="D845" s="32"/>
      <c r="E845" s="34"/>
      <c r="F845" s="24"/>
    </row>
    <row r="846">
      <c r="A846" s="4"/>
      <c r="B846" s="4"/>
      <c r="C846" s="32"/>
      <c r="D846" s="32"/>
      <c r="E846" s="34"/>
      <c r="F846" s="24"/>
    </row>
    <row r="847">
      <c r="A847" s="4"/>
      <c r="B847" s="4"/>
      <c r="C847" s="32"/>
      <c r="D847" s="32"/>
      <c r="E847" s="34"/>
      <c r="F847" s="24"/>
    </row>
    <row r="848">
      <c r="A848" s="4"/>
      <c r="B848" s="4"/>
      <c r="C848" s="32"/>
      <c r="D848" s="32"/>
      <c r="E848" s="34"/>
      <c r="F848" s="24"/>
    </row>
    <row r="849">
      <c r="A849" s="4"/>
      <c r="B849" s="4"/>
      <c r="C849" s="32"/>
      <c r="D849" s="32"/>
      <c r="E849" s="34"/>
      <c r="F849" s="24"/>
    </row>
    <row r="850">
      <c r="A850" s="4"/>
      <c r="B850" s="4"/>
      <c r="C850" s="32"/>
      <c r="D850" s="32"/>
      <c r="E850" s="34"/>
      <c r="F850" s="24"/>
    </row>
    <row r="851">
      <c r="A851" s="4"/>
      <c r="B851" s="4"/>
      <c r="C851" s="32"/>
      <c r="D851" s="32"/>
      <c r="E851" s="34"/>
      <c r="F851" s="24"/>
    </row>
    <row r="852">
      <c r="A852" s="4"/>
      <c r="B852" s="4"/>
      <c r="C852" s="32"/>
      <c r="D852" s="32"/>
      <c r="E852" s="34"/>
      <c r="F852" s="24"/>
    </row>
    <row r="853">
      <c r="A853" s="4"/>
      <c r="B853" s="4"/>
      <c r="C853" s="32"/>
      <c r="D853" s="32"/>
      <c r="E853" s="34"/>
      <c r="F853" s="24"/>
    </row>
    <row r="854">
      <c r="A854" s="4"/>
      <c r="B854" s="4"/>
      <c r="C854" s="32"/>
      <c r="D854" s="32"/>
      <c r="E854" s="34"/>
      <c r="F854" s="24"/>
    </row>
    <row r="855">
      <c r="A855" s="4"/>
      <c r="B855" s="4"/>
      <c r="C855" s="32"/>
      <c r="D855" s="32"/>
      <c r="E855" s="34"/>
      <c r="F855" s="24"/>
    </row>
    <row r="856">
      <c r="A856" s="4"/>
      <c r="B856" s="4"/>
      <c r="C856" s="32"/>
      <c r="D856" s="32"/>
      <c r="E856" s="34"/>
      <c r="F856" s="24"/>
    </row>
    <row r="857">
      <c r="A857" s="4"/>
      <c r="B857" s="4"/>
      <c r="C857" s="32"/>
      <c r="D857" s="32"/>
      <c r="E857" s="34"/>
      <c r="F857" s="24"/>
    </row>
    <row r="858">
      <c r="A858" s="4"/>
      <c r="B858" s="4"/>
      <c r="C858" s="32"/>
      <c r="D858" s="32"/>
      <c r="E858" s="34"/>
      <c r="F858" s="24"/>
    </row>
    <row r="859">
      <c r="A859" s="4"/>
      <c r="B859" s="4"/>
      <c r="C859" s="32"/>
      <c r="D859" s="32"/>
      <c r="E859" s="34"/>
      <c r="F859" s="24"/>
    </row>
    <row r="860">
      <c r="A860" s="4"/>
      <c r="B860" s="4"/>
      <c r="C860" s="32"/>
      <c r="D860" s="32"/>
      <c r="E860" s="34"/>
      <c r="F860" s="24"/>
    </row>
    <row r="861">
      <c r="A861" s="4"/>
      <c r="B861" s="4"/>
      <c r="C861" s="32"/>
      <c r="D861" s="32"/>
      <c r="E861" s="34"/>
      <c r="F861" s="24"/>
    </row>
    <row r="862">
      <c r="A862" s="4"/>
      <c r="B862" s="4"/>
      <c r="C862" s="32"/>
      <c r="D862" s="32"/>
      <c r="E862" s="34"/>
      <c r="F862" s="24"/>
    </row>
    <row r="863">
      <c r="A863" s="4"/>
      <c r="B863" s="4"/>
      <c r="C863" s="32"/>
      <c r="D863" s="32"/>
      <c r="E863" s="34"/>
      <c r="F863" s="24"/>
    </row>
    <row r="864">
      <c r="A864" s="4"/>
      <c r="B864" s="4"/>
      <c r="C864" s="32"/>
      <c r="D864" s="32"/>
      <c r="E864" s="34"/>
      <c r="F864" s="24"/>
    </row>
    <row r="865">
      <c r="A865" s="4"/>
      <c r="B865" s="4"/>
      <c r="C865" s="32"/>
      <c r="D865" s="32"/>
      <c r="E865" s="34"/>
      <c r="F865" s="24"/>
    </row>
    <row r="866">
      <c r="A866" s="4"/>
      <c r="B866" s="4"/>
      <c r="C866" s="32"/>
      <c r="D866" s="32"/>
      <c r="E866" s="34"/>
      <c r="F866" s="24"/>
    </row>
    <row r="867">
      <c r="A867" s="4"/>
      <c r="B867" s="4"/>
      <c r="C867" s="32"/>
      <c r="D867" s="32"/>
      <c r="E867" s="34"/>
      <c r="F867" s="24"/>
    </row>
    <row r="868">
      <c r="A868" s="4"/>
      <c r="B868" s="4"/>
      <c r="C868" s="32"/>
      <c r="D868" s="32"/>
      <c r="E868" s="34"/>
      <c r="F868" s="24"/>
    </row>
    <row r="869">
      <c r="A869" s="4"/>
      <c r="B869" s="4"/>
      <c r="C869" s="32"/>
      <c r="D869" s="32"/>
      <c r="E869" s="34"/>
      <c r="F869" s="24"/>
    </row>
    <row r="870">
      <c r="A870" s="4"/>
      <c r="B870" s="4"/>
      <c r="C870" s="32"/>
      <c r="D870" s="32"/>
      <c r="E870" s="34"/>
      <c r="F870" s="24"/>
    </row>
    <row r="871">
      <c r="A871" s="4"/>
      <c r="B871" s="4"/>
      <c r="C871" s="32"/>
      <c r="D871" s="32"/>
      <c r="E871" s="34"/>
      <c r="F871" s="24"/>
    </row>
    <row r="872">
      <c r="A872" s="4"/>
      <c r="B872" s="4"/>
      <c r="C872" s="32"/>
      <c r="D872" s="32"/>
      <c r="E872" s="34"/>
      <c r="F872" s="24"/>
    </row>
    <row r="873">
      <c r="A873" s="4"/>
      <c r="B873" s="4"/>
      <c r="C873" s="32"/>
      <c r="D873" s="32"/>
      <c r="E873" s="34"/>
      <c r="F873" s="24"/>
    </row>
    <row r="874">
      <c r="A874" s="4"/>
      <c r="B874" s="4"/>
      <c r="C874" s="32"/>
      <c r="D874" s="32"/>
      <c r="E874" s="34"/>
      <c r="F874" s="24"/>
    </row>
    <row r="875">
      <c r="A875" s="4"/>
      <c r="B875" s="4"/>
      <c r="C875" s="32"/>
      <c r="D875" s="32"/>
      <c r="E875" s="34"/>
      <c r="F875" s="24"/>
    </row>
    <row r="876">
      <c r="A876" s="4"/>
      <c r="B876" s="4"/>
      <c r="C876" s="32"/>
      <c r="D876" s="32"/>
      <c r="E876" s="34"/>
      <c r="F876" s="24"/>
    </row>
    <row r="877">
      <c r="A877" s="4"/>
      <c r="B877" s="4"/>
      <c r="C877" s="32"/>
      <c r="D877" s="32"/>
      <c r="E877" s="34"/>
      <c r="F877" s="24"/>
    </row>
    <row r="878">
      <c r="A878" s="4"/>
      <c r="B878" s="4"/>
      <c r="C878" s="32"/>
      <c r="D878" s="32"/>
      <c r="E878" s="34"/>
      <c r="F878" s="24"/>
    </row>
    <row r="879">
      <c r="A879" s="4"/>
      <c r="B879" s="4"/>
      <c r="C879" s="32"/>
      <c r="D879" s="32"/>
      <c r="E879" s="34"/>
      <c r="F879" s="24"/>
    </row>
    <row r="880">
      <c r="A880" s="4"/>
      <c r="B880" s="4"/>
      <c r="C880" s="32"/>
      <c r="D880" s="32"/>
      <c r="E880" s="34"/>
      <c r="F880" s="24"/>
    </row>
    <row r="881">
      <c r="A881" s="4"/>
      <c r="B881" s="4"/>
      <c r="C881" s="32"/>
      <c r="D881" s="32"/>
      <c r="E881" s="34"/>
      <c r="F881" s="24"/>
    </row>
    <row r="882">
      <c r="A882" s="4"/>
      <c r="B882" s="4"/>
      <c r="C882" s="32"/>
      <c r="D882" s="32"/>
      <c r="E882" s="34"/>
      <c r="F882" s="24"/>
    </row>
    <row r="883">
      <c r="A883" s="4"/>
      <c r="B883" s="4"/>
      <c r="C883" s="32"/>
      <c r="D883" s="32"/>
      <c r="E883" s="34"/>
      <c r="F883" s="24"/>
    </row>
    <row r="884">
      <c r="A884" s="4"/>
      <c r="B884" s="4"/>
      <c r="C884" s="32"/>
      <c r="D884" s="32"/>
      <c r="E884" s="34"/>
      <c r="F884" s="24"/>
    </row>
    <row r="885">
      <c r="A885" s="4"/>
      <c r="B885" s="4"/>
      <c r="C885" s="32"/>
      <c r="D885" s="32"/>
      <c r="E885" s="34"/>
      <c r="F885" s="24"/>
    </row>
    <row r="886">
      <c r="A886" s="4"/>
      <c r="B886" s="4"/>
      <c r="C886" s="32"/>
      <c r="D886" s="32"/>
      <c r="E886" s="34"/>
      <c r="F886" s="24"/>
    </row>
    <row r="887">
      <c r="A887" s="4"/>
      <c r="B887" s="4"/>
      <c r="C887" s="32"/>
      <c r="D887" s="32"/>
      <c r="E887" s="34"/>
      <c r="F887" s="24"/>
    </row>
    <row r="888">
      <c r="A888" s="4"/>
      <c r="B888" s="4"/>
      <c r="C888" s="32"/>
      <c r="D888" s="32"/>
      <c r="E888" s="34"/>
      <c r="F888" s="24"/>
    </row>
    <row r="889">
      <c r="A889" s="4"/>
      <c r="B889" s="4"/>
      <c r="C889" s="32"/>
      <c r="D889" s="32"/>
      <c r="E889" s="34"/>
      <c r="F889" s="24"/>
    </row>
    <row r="890">
      <c r="A890" s="4"/>
      <c r="B890" s="4"/>
      <c r="C890" s="32"/>
      <c r="D890" s="32"/>
      <c r="E890" s="34"/>
      <c r="F890" s="24"/>
    </row>
    <row r="891">
      <c r="A891" s="4"/>
      <c r="B891" s="4"/>
      <c r="C891" s="32"/>
      <c r="D891" s="32"/>
      <c r="E891" s="34"/>
      <c r="F891" s="24"/>
    </row>
    <row r="892">
      <c r="A892" s="4"/>
      <c r="B892" s="4"/>
      <c r="C892" s="32"/>
      <c r="D892" s="32"/>
      <c r="E892" s="34"/>
      <c r="F892" s="24"/>
    </row>
    <row r="893">
      <c r="A893" s="4"/>
      <c r="B893" s="4"/>
      <c r="C893" s="32"/>
      <c r="D893" s="32"/>
      <c r="E893" s="34"/>
      <c r="F893" s="24"/>
    </row>
    <row r="894">
      <c r="A894" s="4"/>
      <c r="B894" s="4"/>
      <c r="C894" s="32"/>
      <c r="D894" s="32"/>
      <c r="E894" s="34"/>
      <c r="F894" s="24"/>
    </row>
    <row r="895">
      <c r="A895" s="4"/>
      <c r="B895" s="4"/>
      <c r="C895" s="32"/>
      <c r="D895" s="32"/>
      <c r="E895" s="34"/>
      <c r="F895" s="24"/>
    </row>
    <row r="896">
      <c r="A896" s="4"/>
      <c r="B896" s="4"/>
      <c r="C896" s="32"/>
      <c r="D896" s="32"/>
      <c r="E896" s="34"/>
      <c r="F896" s="24"/>
    </row>
    <row r="897">
      <c r="A897" s="4"/>
      <c r="B897" s="4"/>
      <c r="C897" s="32"/>
      <c r="D897" s="32"/>
      <c r="E897" s="34"/>
      <c r="F897" s="24"/>
    </row>
    <row r="898">
      <c r="A898" s="4"/>
      <c r="B898" s="4"/>
      <c r="C898" s="32"/>
      <c r="D898" s="32"/>
      <c r="E898" s="34"/>
      <c r="F898" s="24"/>
    </row>
    <row r="899">
      <c r="A899" s="4"/>
      <c r="B899" s="4"/>
      <c r="C899" s="32"/>
      <c r="D899" s="32"/>
      <c r="E899" s="34"/>
      <c r="F899" s="24"/>
    </row>
    <row r="900">
      <c r="A900" s="4"/>
      <c r="B900" s="4"/>
      <c r="C900" s="32"/>
      <c r="D900" s="32"/>
      <c r="E900" s="34"/>
      <c r="F900" s="24"/>
    </row>
    <row r="901">
      <c r="A901" s="4"/>
      <c r="B901" s="4"/>
      <c r="C901" s="32"/>
      <c r="D901" s="32"/>
      <c r="E901" s="34"/>
      <c r="F901" s="24"/>
    </row>
    <row r="902">
      <c r="A902" s="4"/>
      <c r="B902" s="4"/>
      <c r="C902" s="32"/>
      <c r="D902" s="32"/>
      <c r="E902" s="34"/>
      <c r="F902" s="24"/>
    </row>
    <row r="903">
      <c r="A903" s="4"/>
      <c r="B903" s="4"/>
      <c r="C903" s="32"/>
      <c r="D903" s="32"/>
      <c r="E903" s="34"/>
      <c r="F903" s="24"/>
    </row>
    <row r="904">
      <c r="A904" s="4"/>
      <c r="B904" s="4"/>
      <c r="C904" s="32"/>
      <c r="D904" s="32"/>
      <c r="E904" s="34"/>
      <c r="F904" s="24"/>
    </row>
    <row r="905">
      <c r="A905" s="4"/>
      <c r="B905" s="4"/>
      <c r="C905" s="32"/>
      <c r="D905" s="32"/>
      <c r="E905" s="34"/>
      <c r="F905" s="24"/>
    </row>
    <row r="906">
      <c r="A906" s="4"/>
      <c r="B906" s="4"/>
      <c r="C906" s="32"/>
      <c r="D906" s="32"/>
      <c r="E906" s="34"/>
      <c r="F906" s="24"/>
    </row>
    <row r="907">
      <c r="A907" s="4"/>
      <c r="B907" s="4"/>
      <c r="C907" s="32"/>
      <c r="D907" s="32"/>
      <c r="E907" s="34"/>
      <c r="F907" s="24"/>
    </row>
    <row r="908">
      <c r="A908" s="4"/>
      <c r="B908" s="4"/>
      <c r="C908" s="32"/>
      <c r="D908" s="32"/>
      <c r="E908" s="34"/>
      <c r="F908" s="24"/>
    </row>
    <row r="909">
      <c r="A909" s="4"/>
      <c r="B909" s="4"/>
      <c r="C909" s="32"/>
      <c r="D909" s="32"/>
      <c r="E909" s="34"/>
      <c r="F909" s="24"/>
    </row>
    <row r="910">
      <c r="A910" s="4"/>
      <c r="B910" s="4"/>
      <c r="C910" s="32"/>
      <c r="D910" s="32"/>
      <c r="E910" s="34"/>
      <c r="F910" s="24"/>
    </row>
    <row r="911">
      <c r="A911" s="4"/>
      <c r="B911" s="4"/>
      <c r="C911" s="32"/>
      <c r="D911" s="32"/>
      <c r="E911" s="34"/>
      <c r="F911" s="24"/>
    </row>
    <row r="912">
      <c r="A912" s="4"/>
      <c r="B912" s="4"/>
      <c r="C912" s="32"/>
      <c r="D912" s="32"/>
      <c r="E912" s="34"/>
      <c r="F912" s="24"/>
    </row>
    <row r="913">
      <c r="A913" s="4"/>
      <c r="B913" s="4"/>
      <c r="C913" s="32"/>
      <c r="D913" s="32"/>
      <c r="E913" s="34"/>
      <c r="F913" s="24"/>
    </row>
    <row r="914">
      <c r="A914" s="4"/>
      <c r="B914" s="4"/>
      <c r="C914" s="32"/>
      <c r="D914" s="32"/>
      <c r="E914" s="34"/>
      <c r="F914" s="24"/>
    </row>
    <row r="915">
      <c r="A915" s="4"/>
      <c r="B915" s="4"/>
      <c r="C915" s="32"/>
      <c r="D915" s="32"/>
      <c r="E915" s="34"/>
      <c r="F915" s="24"/>
    </row>
    <row r="916">
      <c r="A916" s="4"/>
      <c r="B916" s="4"/>
      <c r="C916" s="32"/>
      <c r="D916" s="32"/>
      <c r="E916" s="34"/>
      <c r="F916" s="24"/>
    </row>
    <row r="917">
      <c r="A917" s="4"/>
      <c r="B917" s="4"/>
      <c r="C917" s="32"/>
      <c r="D917" s="32"/>
      <c r="E917" s="34"/>
      <c r="F917" s="24"/>
    </row>
    <row r="918">
      <c r="A918" s="4"/>
      <c r="B918" s="4"/>
      <c r="C918" s="32"/>
      <c r="D918" s="32"/>
      <c r="E918" s="34"/>
      <c r="F918" s="24"/>
    </row>
    <row r="919">
      <c r="A919" s="4"/>
      <c r="B919" s="4"/>
      <c r="C919" s="32"/>
      <c r="D919" s="32"/>
      <c r="E919" s="34"/>
      <c r="F919" s="24"/>
    </row>
    <row r="920">
      <c r="A920" s="4"/>
      <c r="B920" s="4"/>
      <c r="C920" s="32"/>
      <c r="D920" s="32"/>
      <c r="E920" s="34"/>
      <c r="F920" s="24"/>
    </row>
    <row r="921">
      <c r="A921" s="4"/>
      <c r="B921" s="4"/>
      <c r="C921" s="32"/>
      <c r="D921" s="32"/>
      <c r="E921" s="34"/>
      <c r="F921" s="24"/>
    </row>
    <row r="922">
      <c r="A922" s="4"/>
      <c r="B922" s="4"/>
      <c r="C922" s="32"/>
      <c r="D922" s="32"/>
      <c r="E922" s="34"/>
      <c r="F922" s="24"/>
    </row>
    <row r="923">
      <c r="A923" s="4"/>
      <c r="B923" s="4"/>
      <c r="C923" s="32"/>
      <c r="D923" s="32"/>
      <c r="E923" s="34"/>
      <c r="F923" s="24"/>
    </row>
    <row r="924">
      <c r="A924" s="4"/>
      <c r="B924" s="4"/>
      <c r="C924" s="32"/>
      <c r="D924" s="32"/>
      <c r="E924" s="34"/>
      <c r="F924" s="24"/>
    </row>
    <row r="925">
      <c r="A925" s="4"/>
      <c r="B925" s="4"/>
      <c r="C925" s="32"/>
      <c r="D925" s="32"/>
      <c r="E925" s="34"/>
      <c r="F925" s="24"/>
    </row>
    <row r="926">
      <c r="A926" s="4"/>
      <c r="B926" s="4"/>
      <c r="C926" s="32"/>
      <c r="D926" s="32"/>
      <c r="E926" s="34"/>
      <c r="F926" s="24"/>
    </row>
    <row r="927">
      <c r="A927" s="4"/>
      <c r="B927" s="4"/>
      <c r="C927" s="32"/>
      <c r="D927" s="32"/>
      <c r="E927" s="34"/>
      <c r="F927" s="24"/>
    </row>
    <row r="928">
      <c r="A928" s="4"/>
      <c r="B928" s="4"/>
      <c r="C928" s="32"/>
      <c r="D928" s="32"/>
      <c r="E928" s="34"/>
      <c r="F928" s="24"/>
    </row>
    <row r="929">
      <c r="A929" s="4"/>
      <c r="B929" s="4"/>
      <c r="C929" s="32"/>
      <c r="D929" s="32"/>
      <c r="E929" s="34"/>
      <c r="F929" s="24"/>
    </row>
    <row r="930">
      <c r="A930" s="4"/>
      <c r="B930" s="4"/>
      <c r="C930" s="32"/>
      <c r="D930" s="32"/>
      <c r="E930" s="34"/>
      <c r="F930" s="24"/>
    </row>
    <row r="931">
      <c r="A931" s="4"/>
      <c r="B931" s="4"/>
      <c r="C931" s="32"/>
      <c r="D931" s="32"/>
      <c r="E931" s="34"/>
      <c r="F931" s="24"/>
    </row>
    <row r="932">
      <c r="A932" s="4"/>
      <c r="B932" s="4"/>
      <c r="C932" s="32"/>
      <c r="D932" s="32"/>
      <c r="E932" s="34"/>
      <c r="F932" s="24"/>
    </row>
    <row r="933">
      <c r="A933" s="4"/>
      <c r="B933" s="4"/>
      <c r="C933" s="32"/>
      <c r="D933" s="32"/>
      <c r="E933" s="34"/>
      <c r="F933" s="24"/>
    </row>
    <row r="934">
      <c r="A934" s="4"/>
      <c r="B934" s="4"/>
      <c r="C934" s="32"/>
      <c r="D934" s="32"/>
      <c r="E934" s="34"/>
      <c r="F934" s="24"/>
    </row>
    <row r="935">
      <c r="A935" s="4"/>
      <c r="B935" s="4"/>
      <c r="C935" s="32"/>
      <c r="D935" s="32"/>
      <c r="E935" s="34"/>
      <c r="F935" s="24"/>
    </row>
    <row r="936">
      <c r="A936" s="4"/>
      <c r="B936" s="4"/>
      <c r="C936" s="32"/>
      <c r="D936" s="32"/>
      <c r="E936" s="34"/>
      <c r="F936" s="24"/>
    </row>
    <row r="937">
      <c r="A937" s="4"/>
      <c r="B937" s="4"/>
      <c r="C937" s="32"/>
      <c r="D937" s="32"/>
      <c r="E937" s="34"/>
      <c r="F937" s="24"/>
    </row>
    <row r="938">
      <c r="A938" s="4"/>
      <c r="B938" s="4"/>
      <c r="C938" s="32"/>
      <c r="D938" s="32"/>
      <c r="E938" s="34"/>
      <c r="F938" s="24"/>
    </row>
    <row r="939">
      <c r="A939" s="4"/>
      <c r="B939" s="4"/>
      <c r="C939" s="32"/>
      <c r="D939" s="32"/>
      <c r="E939" s="34"/>
      <c r="F939" s="24"/>
    </row>
    <row r="940">
      <c r="A940" s="4"/>
      <c r="B940" s="4"/>
      <c r="C940" s="32"/>
      <c r="D940" s="32"/>
      <c r="E940" s="34"/>
      <c r="F940" s="24"/>
    </row>
    <row r="941">
      <c r="A941" s="4"/>
      <c r="B941" s="4"/>
      <c r="C941" s="32"/>
      <c r="D941" s="32"/>
      <c r="E941" s="34"/>
      <c r="F941" s="24"/>
    </row>
    <row r="942">
      <c r="A942" s="4"/>
      <c r="B942" s="4"/>
      <c r="C942" s="32"/>
      <c r="D942" s="32"/>
      <c r="E942" s="34"/>
      <c r="F942" s="24"/>
    </row>
    <row r="943">
      <c r="A943" s="4"/>
      <c r="B943" s="4"/>
      <c r="C943" s="32"/>
      <c r="D943" s="32"/>
      <c r="E943" s="34"/>
      <c r="F943" s="24"/>
    </row>
    <row r="944">
      <c r="A944" s="4"/>
      <c r="B944" s="4"/>
      <c r="C944" s="32"/>
      <c r="D944" s="32"/>
      <c r="E944" s="34"/>
      <c r="F944" s="24"/>
    </row>
    <row r="945">
      <c r="A945" s="4"/>
      <c r="B945" s="4"/>
      <c r="C945" s="32"/>
      <c r="D945" s="32"/>
      <c r="E945" s="34"/>
      <c r="F945" s="24"/>
    </row>
    <row r="946">
      <c r="A946" s="4"/>
      <c r="B946" s="4"/>
      <c r="C946" s="32"/>
      <c r="D946" s="32"/>
      <c r="E946" s="34"/>
      <c r="F946" s="24"/>
    </row>
    <row r="947">
      <c r="A947" s="4"/>
      <c r="B947" s="4"/>
      <c r="C947" s="32"/>
      <c r="D947" s="32"/>
      <c r="E947" s="34"/>
      <c r="F947" s="24"/>
    </row>
    <row r="948">
      <c r="A948" s="4"/>
      <c r="B948" s="4"/>
      <c r="C948" s="32"/>
      <c r="D948" s="32"/>
      <c r="E948" s="34"/>
      <c r="F948" s="24"/>
    </row>
    <row r="949">
      <c r="A949" s="4"/>
      <c r="B949" s="4"/>
      <c r="C949" s="32"/>
      <c r="D949" s="32"/>
      <c r="E949" s="34"/>
      <c r="F949" s="24"/>
    </row>
    <row r="950">
      <c r="A950" s="4"/>
      <c r="B950" s="4"/>
      <c r="C950" s="32"/>
      <c r="D950" s="32"/>
      <c r="E950" s="34"/>
      <c r="F950" s="24"/>
    </row>
    <row r="951">
      <c r="A951" s="4"/>
      <c r="B951" s="4"/>
      <c r="C951" s="32"/>
      <c r="D951" s="32"/>
      <c r="E951" s="34"/>
      <c r="F951" s="24"/>
    </row>
    <row r="952">
      <c r="A952" s="4"/>
      <c r="B952" s="4"/>
      <c r="C952" s="32"/>
      <c r="D952" s="32"/>
      <c r="E952" s="34"/>
      <c r="F952" s="24"/>
    </row>
    <row r="953">
      <c r="A953" s="4"/>
      <c r="B953" s="4"/>
      <c r="C953" s="32"/>
      <c r="D953" s="32"/>
      <c r="E953" s="34"/>
      <c r="F953" s="24"/>
    </row>
    <row r="954">
      <c r="A954" s="4"/>
      <c r="B954" s="4"/>
      <c r="C954" s="32"/>
      <c r="D954" s="32"/>
      <c r="E954" s="34"/>
      <c r="F954" s="24"/>
    </row>
    <row r="955">
      <c r="A955" s="4"/>
      <c r="B955" s="4"/>
      <c r="C955" s="32"/>
      <c r="D955" s="32"/>
      <c r="E955" s="34"/>
      <c r="F955" s="24"/>
    </row>
    <row r="956">
      <c r="A956" s="4"/>
      <c r="B956" s="4"/>
      <c r="C956" s="32"/>
      <c r="D956" s="32"/>
      <c r="E956" s="34"/>
      <c r="F956" s="24"/>
    </row>
    <row r="957">
      <c r="A957" s="4"/>
      <c r="B957" s="4"/>
      <c r="C957" s="32"/>
      <c r="D957" s="32"/>
      <c r="E957" s="34"/>
      <c r="F957" s="24"/>
    </row>
    <row r="958">
      <c r="A958" s="4"/>
      <c r="B958" s="4"/>
      <c r="C958" s="32"/>
      <c r="D958" s="32"/>
      <c r="E958" s="34"/>
      <c r="F958" s="24"/>
    </row>
    <row r="959">
      <c r="A959" s="4"/>
      <c r="B959" s="4"/>
      <c r="C959" s="32"/>
      <c r="D959" s="32"/>
      <c r="E959" s="34"/>
      <c r="F959" s="24"/>
    </row>
    <row r="960">
      <c r="A960" s="4"/>
      <c r="B960" s="4"/>
      <c r="C960" s="32"/>
      <c r="D960" s="32"/>
      <c r="E960" s="34"/>
      <c r="F960" s="24"/>
    </row>
    <row r="961">
      <c r="A961" s="4"/>
      <c r="B961" s="4"/>
      <c r="C961" s="32"/>
      <c r="D961" s="32"/>
      <c r="E961" s="34"/>
      <c r="F961" s="24"/>
    </row>
    <row r="962">
      <c r="A962" s="4"/>
      <c r="B962" s="4"/>
      <c r="C962" s="32"/>
      <c r="D962" s="32"/>
      <c r="E962" s="34"/>
      <c r="F962" s="24"/>
    </row>
    <row r="963">
      <c r="A963" s="4"/>
      <c r="B963" s="4"/>
      <c r="C963" s="32"/>
      <c r="D963" s="32"/>
      <c r="E963" s="34"/>
      <c r="F963" s="24"/>
    </row>
    <row r="964">
      <c r="A964" s="4"/>
      <c r="B964" s="4"/>
      <c r="C964" s="32"/>
      <c r="D964" s="32"/>
      <c r="E964" s="34"/>
      <c r="F964" s="24"/>
    </row>
    <row r="965">
      <c r="A965" s="4"/>
      <c r="B965" s="4"/>
      <c r="C965" s="32"/>
      <c r="D965" s="32"/>
      <c r="E965" s="34"/>
      <c r="F965" s="24"/>
    </row>
    <row r="966">
      <c r="A966" s="4"/>
      <c r="B966" s="4"/>
      <c r="C966" s="32"/>
      <c r="D966" s="32"/>
      <c r="E966" s="34"/>
      <c r="F966" s="24"/>
    </row>
    <row r="967">
      <c r="A967" s="4"/>
      <c r="B967" s="4"/>
      <c r="C967" s="32"/>
      <c r="D967" s="32"/>
      <c r="E967" s="34"/>
      <c r="F967" s="24"/>
    </row>
    <row r="968">
      <c r="A968" s="4"/>
      <c r="B968" s="4"/>
      <c r="C968" s="32"/>
      <c r="D968" s="32"/>
      <c r="E968" s="34"/>
      <c r="F968" s="24"/>
    </row>
    <row r="969">
      <c r="A969" s="4"/>
      <c r="B969" s="4"/>
      <c r="C969" s="32"/>
      <c r="D969" s="32"/>
      <c r="E969" s="34"/>
      <c r="F969" s="24"/>
    </row>
    <row r="970">
      <c r="A970" s="4"/>
      <c r="B970" s="4"/>
      <c r="C970" s="32"/>
      <c r="D970" s="32"/>
      <c r="E970" s="34"/>
      <c r="F970" s="24"/>
    </row>
    <row r="971">
      <c r="A971" s="4"/>
      <c r="B971" s="4"/>
      <c r="C971" s="32"/>
      <c r="D971" s="32"/>
      <c r="E971" s="34"/>
      <c r="F971" s="24"/>
    </row>
    <row r="972">
      <c r="A972" s="4"/>
      <c r="B972" s="4"/>
      <c r="C972" s="32"/>
      <c r="D972" s="32"/>
      <c r="E972" s="34"/>
      <c r="F972" s="24"/>
    </row>
    <row r="973">
      <c r="A973" s="4"/>
      <c r="B973" s="4"/>
      <c r="C973" s="32"/>
      <c r="D973" s="32"/>
      <c r="E973" s="34"/>
      <c r="F973" s="24"/>
    </row>
    <row r="974">
      <c r="A974" s="4"/>
      <c r="B974" s="4"/>
      <c r="C974" s="32"/>
      <c r="D974" s="32"/>
      <c r="E974" s="34"/>
      <c r="F974" s="24"/>
    </row>
    <row r="975">
      <c r="A975" s="4"/>
      <c r="B975" s="4"/>
      <c r="C975" s="32"/>
      <c r="D975" s="32"/>
      <c r="E975" s="34"/>
      <c r="F975" s="24"/>
    </row>
    <row r="976">
      <c r="A976" s="4"/>
      <c r="B976" s="4"/>
      <c r="C976" s="32"/>
      <c r="D976" s="32"/>
      <c r="E976" s="34"/>
      <c r="F976" s="24"/>
    </row>
    <row r="977">
      <c r="A977" s="4"/>
      <c r="B977" s="4"/>
      <c r="C977" s="32"/>
      <c r="D977" s="32"/>
      <c r="E977" s="34"/>
      <c r="F977" s="24"/>
    </row>
    <row r="978">
      <c r="A978" s="4"/>
      <c r="B978" s="4"/>
      <c r="C978" s="32"/>
      <c r="D978" s="32"/>
      <c r="E978" s="34"/>
      <c r="F978" s="24"/>
    </row>
    <row r="979">
      <c r="A979" s="4"/>
      <c r="B979" s="4"/>
      <c r="C979" s="32"/>
      <c r="D979" s="32"/>
      <c r="E979" s="34"/>
      <c r="F979" s="24"/>
    </row>
    <row r="980">
      <c r="A980" s="4"/>
      <c r="B980" s="4"/>
      <c r="C980" s="32"/>
      <c r="D980" s="32"/>
      <c r="E980" s="34"/>
      <c r="F980" s="24"/>
    </row>
    <row r="981">
      <c r="A981" s="4"/>
      <c r="B981" s="4"/>
      <c r="C981" s="32"/>
      <c r="D981" s="32"/>
      <c r="E981" s="34"/>
      <c r="F981" s="24"/>
    </row>
    <row r="982">
      <c r="A982" s="4"/>
      <c r="B982" s="4"/>
      <c r="C982" s="32"/>
      <c r="D982" s="32"/>
      <c r="E982" s="34"/>
      <c r="F982" s="24"/>
    </row>
    <row r="983">
      <c r="A983" s="4"/>
      <c r="B983" s="4"/>
      <c r="C983" s="32"/>
      <c r="D983" s="32"/>
      <c r="E983" s="34"/>
      <c r="F983" s="24"/>
    </row>
    <row r="984">
      <c r="A984" s="4"/>
      <c r="B984" s="4"/>
      <c r="C984" s="32"/>
      <c r="D984" s="32"/>
      <c r="E984" s="34"/>
      <c r="F984" s="24"/>
    </row>
    <row r="985">
      <c r="A985" s="4"/>
      <c r="B985" s="4"/>
      <c r="C985" s="32"/>
      <c r="D985" s="32"/>
      <c r="E985" s="34"/>
      <c r="F985" s="24"/>
    </row>
    <row r="986">
      <c r="A986" s="4"/>
      <c r="B986" s="4"/>
      <c r="C986" s="32"/>
      <c r="D986" s="32"/>
      <c r="E986" s="34"/>
      <c r="F986" s="24"/>
    </row>
    <row r="987">
      <c r="A987" s="4"/>
      <c r="B987" s="4"/>
      <c r="C987" s="32"/>
      <c r="D987" s="32"/>
      <c r="E987" s="34"/>
      <c r="F987" s="24"/>
    </row>
    <row r="988">
      <c r="A988" s="4"/>
      <c r="B988" s="4"/>
      <c r="C988" s="32"/>
      <c r="D988" s="32"/>
      <c r="E988" s="34"/>
      <c r="F988" s="24"/>
    </row>
    <row r="989">
      <c r="A989" s="4"/>
      <c r="B989" s="4"/>
      <c r="C989" s="32"/>
      <c r="D989" s="32"/>
      <c r="E989" s="34"/>
      <c r="F989" s="24"/>
    </row>
    <row r="990">
      <c r="A990" s="4"/>
      <c r="B990" s="4"/>
      <c r="C990" s="32"/>
      <c r="D990" s="32"/>
      <c r="E990" s="34"/>
      <c r="F990" s="24"/>
    </row>
    <row r="991">
      <c r="A991" s="4"/>
      <c r="B991" s="4"/>
      <c r="C991" s="32"/>
      <c r="D991" s="32"/>
      <c r="E991" s="34"/>
      <c r="F991" s="24"/>
    </row>
    <row r="992">
      <c r="A992" s="4"/>
      <c r="B992" s="4"/>
      <c r="C992" s="32"/>
      <c r="D992" s="32"/>
      <c r="E992" s="34"/>
      <c r="F992" s="24"/>
    </row>
    <row r="993">
      <c r="A993" s="4"/>
      <c r="B993" s="4"/>
      <c r="C993" s="32"/>
      <c r="D993" s="32"/>
      <c r="E993" s="34"/>
      <c r="F993" s="24"/>
    </row>
    <row r="994">
      <c r="A994" s="4"/>
      <c r="B994" s="4"/>
      <c r="C994" s="32"/>
      <c r="D994" s="32"/>
      <c r="E994" s="34"/>
      <c r="F994" s="24"/>
    </row>
    <row r="995">
      <c r="A995" s="4"/>
      <c r="B995" s="4"/>
      <c r="C995" s="32"/>
      <c r="D995" s="32"/>
      <c r="E995" s="34"/>
      <c r="F995" s="24"/>
    </row>
    <row r="996">
      <c r="A996" s="4"/>
      <c r="B996" s="4"/>
      <c r="C996" s="32"/>
      <c r="D996" s="32"/>
      <c r="E996" s="34"/>
      <c r="F996" s="24"/>
    </row>
    <row r="997">
      <c r="A997" s="4"/>
      <c r="B997" s="4"/>
      <c r="C997" s="32"/>
      <c r="D997" s="32"/>
      <c r="E997" s="34"/>
      <c r="F997" s="24"/>
    </row>
    <row r="998">
      <c r="A998" s="4"/>
      <c r="B998" s="4"/>
      <c r="C998" s="32"/>
      <c r="D998" s="32"/>
      <c r="E998" s="34"/>
      <c r="F998" s="24"/>
    </row>
    <row r="999">
      <c r="A999" s="4"/>
      <c r="B999" s="4"/>
      <c r="C999" s="32"/>
      <c r="D999" s="32"/>
      <c r="E999" s="34"/>
      <c r="F999" s="24"/>
    </row>
    <row r="1000">
      <c r="A1000" s="4"/>
      <c r="B1000" s="4"/>
      <c r="C1000" s="32"/>
      <c r="D1000" s="32"/>
      <c r="E1000" s="34"/>
      <c r="F1000" s="24"/>
    </row>
  </sheetData>
  <autoFilter ref="$A$1:$E$62"/>
  <hyperlinks>
    <hyperlink r:id="rId1" ref="K3"/>
    <hyperlink r:id="rId2" ref="Q3"/>
    <hyperlink r:id="rId3" ref="K4"/>
    <hyperlink r:id="rId4" ref="Q4"/>
    <hyperlink r:id="rId5" ref="K5"/>
    <hyperlink r:id="rId6" ref="N5"/>
    <hyperlink r:id="rId7" ref="Q5"/>
    <hyperlink r:id="rId8" ref="K6"/>
    <hyperlink r:id="rId9" ref="Q6"/>
    <hyperlink r:id="rId10" ref="K7"/>
    <hyperlink r:id="rId11" ref="Q7"/>
    <hyperlink r:id="rId12" ref="K8"/>
    <hyperlink r:id="rId13" location="2" ref="Q8"/>
    <hyperlink r:id="rId14" ref="K9"/>
    <hyperlink r:id="rId15" ref="Q9"/>
    <hyperlink r:id="rId16" ref="K10"/>
    <hyperlink r:id="rId17" ref="Q10"/>
    <hyperlink r:id="rId18" ref="K11"/>
    <hyperlink r:id="rId19" ref="Q11"/>
    <hyperlink r:id="rId20" ref="K12"/>
    <hyperlink r:id="rId21" ref="K13"/>
    <hyperlink r:id="rId22" ref="K14"/>
    <hyperlink r:id="rId23" ref="K15"/>
    <hyperlink r:id="rId24" ref="K16"/>
    <hyperlink r:id="rId25" ref="K17"/>
    <hyperlink r:id="rId26" ref="K18"/>
    <hyperlink r:id="rId27" ref="K19"/>
    <hyperlink r:id="rId28" ref="K20"/>
    <hyperlink r:id="rId29" ref="B21"/>
    <hyperlink r:id="rId30" ref="K21"/>
    <hyperlink r:id="rId31" ref="K22"/>
    <hyperlink r:id="rId32" ref="K32"/>
    <hyperlink r:id="rId33" ref="K33"/>
    <hyperlink r:id="rId34" ref="B49"/>
    <hyperlink r:id="rId35" ref="B51"/>
    <hyperlink r:id="rId36" ref="B52"/>
    <hyperlink r:id="rId37" ref="B53"/>
    <hyperlink r:id="rId38" ref="B54"/>
    <hyperlink r:id="rId39" ref="B57"/>
    <hyperlink r:id="rId40" ref="B58"/>
    <hyperlink r:id="rId41" ref="B59"/>
    <hyperlink r:id="rId42" ref="B60"/>
    <hyperlink r:id="rId43" ref="G61"/>
    <hyperlink r:id="rId44" ref="B62"/>
  </hyperlinks>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71"/>
    <col customWidth="1" min="2" max="2" width="52.29"/>
    <col customWidth="1" min="3" max="11" width="28.71"/>
  </cols>
  <sheetData>
    <row r="1">
      <c r="A1" s="35" t="s">
        <v>202</v>
      </c>
      <c r="B1" s="35" t="s">
        <v>203</v>
      </c>
      <c r="C1" s="35" t="s">
        <v>204</v>
      </c>
      <c r="D1" s="35" t="s">
        <v>205</v>
      </c>
      <c r="E1" s="35" t="s">
        <v>206</v>
      </c>
      <c r="F1" s="35" t="s">
        <v>207</v>
      </c>
      <c r="G1" s="35" t="s">
        <v>208</v>
      </c>
      <c r="H1" s="35" t="s">
        <v>209</v>
      </c>
      <c r="I1" s="35" t="s">
        <v>210</v>
      </c>
      <c r="J1" s="35" t="s">
        <v>211</v>
      </c>
      <c r="K1" s="35" t="s">
        <v>212</v>
      </c>
      <c r="L1" s="36"/>
      <c r="M1" s="36"/>
      <c r="N1" s="36"/>
      <c r="O1" s="36"/>
      <c r="P1" s="36"/>
      <c r="Q1" s="36"/>
      <c r="R1" s="36"/>
      <c r="S1" s="36"/>
      <c r="T1" s="36"/>
      <c r="U1" s="36"/>
      <c r="V1" s="36"/>
      <c r="W1" s="36"/>
      <c r="X1" s="36"/>
      <c r="Y1" s="36"/>
      <c r="Z1" s="36"/>
      <c r="AA1" s="36"/>
      <c r="AB1" s="36"/>
    </row>
    <row r="2">
      <c r="A2" s="35" t="s">
        <v>213</v>
      </c>
    </row>
    <row r="3">
      <c r="B3" s="37" t="str">
        <f>'Дюрюм'!B1</f>
        <v>#REF!</v>
      </c>
      <c r="C3" s="37" t="str">
        <f>'Дюрюм'!B33</f>
        <v>#REF!</v>
      </c>
      <c r="D3" s="37" t="str">
        <f>'Дюрюм'!B35</f>
        <v>#REF!</v>
      </c>
      <c r="E3" s="37" t="str">
        <f>'Дюрюм'!B30</f>
        <v>#REF!</v>
      </c>
      <c r="F3" s="37" t="str">
        <f>'Дюрюм'!B32</f>
        <v>#REF!</v>
      </c>
      <c r="G3" s="37" t="str">
        <f>'Дюрюм'!I11</f>
        <v>#REF!</v>
      </c>
      <c r="H3" s="37" t="str">
        <f>'Дюрюм'!C18</f>
        <v>#REF!</v>
      </c>
      <c r="I3" s="37" t="str">
        <f>'Дюрюм'!C19</f>
        <v>#REF!</v>
      </c>
      <c r="J3" s="37" t="str">
        <f>'Дюрюм'!C24</f>
        <v>#REF!</v>
      </c>
      <c r="K3" s="37" t="str">
        <f>'Дюрюм'!C28</f>
        <v>#REF!</v>
      </c>
    </row>
    <row r="4">
      <c r="B4" s="37" t="str">
        <f>'Искандер дюрюм Zurna'!B1</f>
        <v>Iskendy Durum Zurna</v>
      </c>
      <c r="C4" s="37">
        <f>'Искандер дюрюм Zurna'!B30</f>
        <v>800</v>
      </c>
      <c r="D4" s="37">
        <f>'Искандер дюрюм Zurna'!B36</f>
        <v>1150</v>
      </c>
      <c r="E4" s="38">
        <f>'Искандер дюрюм Zurna'!B31</f>
        <v>0.2263714311</v>
      </c>
      <c r="F4" s="38">
        <f>'Искандер дюрюм Zurna'!B32</f>
        <v>0.2055401811</v>
      </c>
      <c r="G4" s="37">
        <f>'Искандер дюрюм Zurna'!I11</f>
        <v>721</v>
      </c>
      <c r="H4" s="39">
        <f>'Искандер дюрюм Zurna'!C18</f>
        <v>164.4321449</v>
      </c>
      <c r="I4" s="40">
        <f>'Искандер дюрюм Zurna'!C19</f>
        <v>6.577285797</v>
      </c>
      <c r="J4" s="40">
        <f>'Искандер дюрюм Zurna'!C20</f>
        <v>1.2</v>
      </c>
      <c r="K4" s="39">
        <f>'Искандер дюрюм Zurna'!C25</f>
        <v>172.2094307</v>
      </c>
    </row>
    <row r="5">
      <c r="A5" s="35" t="s">
        <v>214</v>
      </c>
      <c r="B5" s="15"/>
    </row>
    <row r="6">
      <c r="B6" s="15" t="str">
        <f>'Чай чёрный'!B1</f>
        <v>Чай чёрный</v>
      </c>
      <c r="C6" s="37">
        <f>'Чай чёрный'!C21</f>
        <v>150</v>
      </c>
      <c r="E6" s="38">
        <f>'Чай чёрный'!C22</f>
        <v>0.05499822222</v>
      </c>
      <c r="F6" s="38">
        <f>'Чай чёрный'!C23</f>
        <v>0.008011111111</v>
      </c>
      <c r="G6" s="41">
        <f>'Чай чёрный'!I6</f>
        <v>4800</v>
      </c>
      <c r="H6" s="39">
        <f>'Чай чёрный'!D16</f>
        <v>1.201666667</v>
      </c>
      <c r="I6" s="40">
        <f>'Чай чёрный'!D17</f>
        <v>0.04806666667</v>
      </c>
      <c r="J6" s="37">
        <f>'Чай чёрный'!D18</f>
        <v>7</v>
      </c>
      <c r="K6" s="39">
        <f>'Чай чёрный'!D19</f>
        <v>8.249733333</v>
      </c>
    </row>
    <row r="7">
      <c r="B7" s="15" t="s">
        <v>215</v>
      </c>
      <c r="C7" s="37">
        <f>'Айран'!C23</f>
        <v>190</v>
      </c>
      <c r="D7" s="41">
        <f>'Айран'!D23</f>
        <v>271.4285714</v>
      </c>
      <c r="E7" s="38">
        <f>'Айран'!C24</f>
        <v>0.2210526316</v>
      </c>
      <c r="G7" s="41">
        <f>'Айран'!F5</f>
        <v>270</v>
      </c>
    </row>
    <row r="8" hidden="1">
      <c r="B8" s="37" t="str">
        <f>'Кофе по-турецки'!B1</f>
        <v>Кофе по-турецки</v>
      </c>
      <c r="C8" s="37">
        <f>'Кофе по-турецки'!C23</f>
        <v>250</v>
      </c>
      <c r="E8" s="38">
        <f>'Кофе по-турецки'!C24</f>
        <v>0.1152864</v>
      </c>
      <c r="F8" s="38">
        <f>'Кофе по-турецки'!C25</f>
        <v>0.10316</v>
      </c>
      <c r="G8" s="41">
        <f>'Кофе по-турецки'!I8</f>
        <v>100</v>
      </c>
      <c r="H8" s="39">
        <f>'Кофе по-турецки'!D18</f>
        <v>25.79</v>
      </c>
      <c r="I8" s="40">
        <f>'Чай чёрный'!D17</f>
        <v>0.04806666667</v>
      </c>
      <c r="J8" s="37">
        <f>'Кофе по-турецки'!D20</f>
        <v>2</v>
      </c>
      <c r="K8" s="39">
        <f>'Кофе по-турецки'!D21</f>
        <v>28.8216</v>
      </c>
    </row>
    <row r="9" hidden="1">
      <c r="B9" s="37" t="str">
        <f>'Кофе по-турецки с кардамоном'!B1</f>
        <v>Кофе по-турецки с кардамоном</v>
      </c>
      <c r="C9" s="37">
        <f>'Кофе по-турецки с кардамоном'!C22</f>
        <v>240</v>
      </c>
      <c r="E9" s="38" t="str">
        <f>'Кофе по-турецки с кардамоном'!C23</f>
        <v>#N/A</v>
      </c>
      <c r="F9" s="38" t="str">
        <f>'Кофе по-турецки с кардамоном'!C24</f>
        <v>#N/A</v>
      </c>
      <c r="G9" s="41">
        <f>'Кофе по-турецки с кардамоном'!I7</f>
        <v>100</v>
      </c>
      <c r="H9" s="39" t="str">
        <f>'Кофе по-турецки с кардамоном'!D17</f>
        <v>#N/A</v>
      </c>
      <c r="I9" s="40" t="str">
        <f>'Кофе по-турецки с кардамоном'!D18</f>
        <v>#N/A</v>
      </c>
      <c r="J9" s="37">
        <f>'Кофе по-турецки с кардамоном'!D19</f>
        <v>4</v>
      </c>
      <c r="K9" s="37" t="str">
        <f>'Кофе по-турецки с кардамоном'!D20</f>
        <v>#N/A</v>
      </c>
    </row>
    <row r="10" hidden="1">
      <c r="B10" s="37" t="str">
        <f>'Кофе по-турецки с фундуком'!B1</f>
        <v>Кофе по-турецки с фундуком</v>
      </c>
      <c r="C10" s="37">
        <f>'Кофе по-турецки с фундуком'!C21</f>
        <v>350</v>
      </c>
      <c r="E10" s="38">
        <f>'Кофе по-турецки с фундуком'!C22</f>
        <v>0.1302857143</v>
      </c>
      <c r="F10" s="38">
        <f>'Кофе по-турецки с фундуком'!C23</f>
        <v>0.1142857143</v>
      </c>
      <c r="G10" s="41">
        <f>'Кофе по-турецки с фундуком'!I6</f>
        <v>110</v>
      </c>
      <c r="H10" s="39">
        <f>'Кофе по-турецки с фундуком'!D16</f>
        <v>40</v>
      </c>
      <c r="I10" s="40">
        <f>'Кофе по-турецки с фундуком'!D17</f>
        <v>1.6</v>
      </c>
      <c r="J10" s="37">
        <f>'Кофе по-турецки с фундуком'!D18</f>
        <v>4</v>
      </c>
      <c r="K10" s="39">
        <f>'Кофе по-турецки с фундуком'!D19</f>
        <v>45.6</v>
      </c>
    </row>
    <row r="11" hidden="1">
      <c r="B11" s="15" t="s">
        <v>216</v>
      </c>
      <c r="C11" s="37">
        <f>'Лимонад'!C28</f>
        <v>200</v>
      </c>
      <c r="E11" s="38">
        <f>'Лимонад'!C29</f>
        <v>0.1896075</v>
      </c>
      <c r="F11" s="38">
        <f>'Лимонад'!C30</f>
        <v>0.14525</v>
      </c>
      <c r="G11" s="41">
        <f>'Лимонад'!I9</f>
        <v>365</v>
      </c>
      <c r="H11" s="39">
        <f>'Лимонад'!D23</f>
        <v>29.05</v>
      </c>
      <c r="I11" s="40">
        <f>'Лимонад'!D24</f>
        <v>0.8715</v>
      </c>
      <c r="J11" s="37">
        <f>'Лимонад'!D25</f>
        <v>8</v>
      </c>
      <c r="K11" s="39">
        <f>'Лимонад'!D26</f>
        <v>37.9215</v>
      </c>
    </row>
    <row r="12" hidden="1">
      <c r="B12" s="37" t="str">
        <f>'Айран коктейль'!B1</f>
        <v>Айран коктейль</v>
      </c>
      <c r="C12" s="37">
        <f>'Айран коктейль'!C25</f>
        <v>290</v>
      </c>
      <c r="E12" s="38">
        <f>'Айран коктейль'!C26</f>
        <v>0.2527586207</v>
      </c>
      <c r="F12" s="38">
        <f>'Айран коктейль'!C27</f>
        <v>0.2198275862</v>
      </c>
      <c r="G12" s="41">
        <f>'Айран коктейль'!I9</f>
        <v>365</v>
      </c>
      <c r="H12" s="39">
        <f>'Айран коктейль'!D20</f>
        <v>63.75</v>
      </c>
      <c r="I12" s="40">
        <f>'Айран коктейль'!D21</f>
        <v>2.55</v>
      </c>
      <c r="J12" s="37">
        <f>'Айран коктейль'!D22</f>
        <v>7</v>
      </c>
      <c r="K12" s="39">
        <f>'Айран коктейль'!D23</f>
        <v>73.3</v>
      </c>
    </row>
    <row r="13">
      <c r="A13" s="35" t="s">
        <v>217</v>
      </c>
    </row>
    <row r="14">
      <c r="B14" s="37" t="str">
        <f>'Фри на продажу'!B1</f>
        <v>Фри</v>
      </c>
      <c r="C14" s="37">
        <f>'Фри на продажу'!C33</f>
        <v>230</v>
      </c>
      <c r="D14" s="37">
        <f>'Фри на продажу'!C39</f>
        <v>330</v>
      </c>
      <c r="E14" s="38">
        <f>'Фри на продажу'!C34</f>
        <v>0.1900564565</v>
      </c>
      <c r="F14" s="38">
        <f>'Фри на продажу'!C35</f>
        <v>0.1454477609</v>
      </c>
      <c r="G14" s="41">
        <f>'Фри на продажу'!I8</f>
        <v>100</v>
      </c>
      <c r="H14" s="39">
        <f>'Фри на продажу'!D18</f>
        <v>33.452985</v>
      </c>
      <c r="I14" s="40">
        <f>'Фри на продажу'!D19</f>
        <v>2</v>
      </c>
      <c r="J14" s="40">
        <f>'Фри на продажу'!D20</f>
        <v>1.2</v>
      </c>
      <c r="K14" s="39">
        <f>'Фри на продажу'!D26</f>
        <v>45.972985</v>
      </c>
    </row>
    <row r="15">
      <c r="A15" s="35" t="s">
        <v>218</v>
      </c>
    </row>
    <row r="16">
      <c r="B16" s="37" t="str">
        <f>'Чечевичный суп'!B1</f>
        <v>Чечевичный суп</v>
      </c>
      <c r="C16" s="37">
        <f>'Чечевичный суп'!B24</f>
        <v>300</v>
      </c>
      <c r="D16" s="37">
        <f>'Чечевичный суп'!B27</f>
        <v>430</v>
      </c>
      <c r="E16" s="38">
        <f>'Чечевичный суп'!B22</f>
        <v>0.1403564406</v>
      </c>
    </row>
    <row r="17">
      <c r="A17" s="35" t="s">
        <v>219</v>
      </c>
    </row>
    <row r="18">
      <c r="B18" s="37" t="str">
        <f>'Сырный соус'!B1</f>
        <v>Сырный соус</v>
      </c>
      <c r="C18" s="37">
        <f>'Сырный соус'!C30</f>
        <v>70</v>
      </c>
      <c r="D18" s="37">
        <f>'Сырный соус'!C36</f>
        <v>100</v>
      </c>
      <c r="E18" s="38">
        <f>'Сырный соус'!C31</f>
        <v>0.2889857143</v>
      </c>
      <c r="F18" s="38">
        <f>'Сырный соус'!C32</f>
        <v>0.2209857143</v>
      </c>
      <c r="G18" s="41">
        <f>'Сырный соус'!I5</f>
        <v>30</v>
      </c>
      <c r="H18" s="39">
        <f>'Сырный соус'!C10</f>
        <v>15.469</v>
      </c>
      <c r="I18" s="37" t="str">
        <f>'Сырный соус'!D16</f>
        <v/>
      </c>
      <c r="J18" s="39">
        <f>'Сырный соус'!J31</f>
        <v>4.76</v>
      </c>
      <c r="K18" s="39">
        <f>'Сырный соус'!J33</f>
        <v>20.229</v>
      </c>
    </row>
    <row r="19">
      <c r="B19" s="37" t="str">
        <f>'Перец Якан'!B1</f>
        <v>Перец Якан</v>
      </c>
      <c r="C19" s="15">
        <f>'Перец Якан'!C30</f>
        <v>60</v>
      </c>
      <c r="D19" s="37">
        <f>'Перец Якан'!C36</f>
        <v>85</v>
      </c>
      <c r="E19" s="38">
        <f>'Перец Якан'!C31</f>
        <v>0.1724666667</v>
      </c>
    </row>
    <row r="20">
      <c r="B20" s="37" t="str">
        <f>'Кетчуп'!B1</f>
        <v>Кетчуп</v>
      </c>
      <c r="C20" s="37">
        <f>'Кетчуп'!C30</f>
        <v>70</v>
      </c>
      <c r="D20" s="37">
        <f>'Кетчуп'!C36</f>
        <v>100</v>
      </c>
      <c r="E20" s="38">
        <f>'Кетчуп'!C31</f>
        <v>0.1914464286</v>
      </c>
      <c r="F20" s="38">
        <f>'Кетчуп'!C32</f>
        <v>0.1234464286</v>
      </c>
      <c r="G20" s="41">
        <f>'Кетчуп'!I5</f>
        <v>30</v>
      </c>
      <c r="H20" s="39">
        <f>'Кетчуп'!G5</f>
        <v>8.64125</v>
      </c>
      <c r="J20" s="39">
        <f>'Кетчуп'!I38</f>
        <v>4.76</v>
      </c>
      <c r="K20" s="39">
        <f>'Кетчуп'!I39</f>
        <v>13.40125</v>
      </c>
    </row>
    <row r="21">
      <c r="A21" s="35" t="s">
        <v>220</v>
      </c>
    </row>
    <row r="22">
      <c r="B22" s="37" t="str">
        <f>'Манная халва'!B1</f>
        <v>Манная халва</v>
      </c>
      <c r="C22" s="37">
        <f>'Манная халва'!C20</f>
        <v>250</v>
      </c>
      <c r="D22" s="37">
        <f>'Манная халва'!C25</f>
        <v>350</v>
      </c>
      <c r="E22" s="38">
        <f>'Манная халва'!C21</f>
        <v>0.2039432742</v>
      </c>
      <c r="F22" s="38">
        <f>'Манная халва'!C22</f>
        <v>0.1097032742</v>
      </c>
      <c r="G22" s="42">
        <f>'Манная халва'!B10</f>
        <v>150</v>
      </c>
      <c r="H22" s="39">
        <f>'Манная халва'!C10</f>
        <v>27.42581854</v>
      </c>
      <c r="I22" s="39">
        <f>'Манная халва'!G19</f>
        <v>2</v>
      </c>
      <c r="J22" s="40">
        <f>'Манная халва'!D16</f>
        <v>23.56</v>
      </c>
      <c r="K22" s="39">
        <f>'Манная халва'!D17</f>
        <v>50.98581854</v>
      </c>
    </row>
    <row r="23">
      <c r="B23" s="37" t="str">
        <f>'Манная халва с шоко'!B1</f>
        <v>Манная халва с шоколадом</v>
      </c>
      <c r="C23" s="15">
        <f>'Манная халва с шоко'!C21</f>
        <v>300</v>
      </c>
      <c r="D23" s="41">
        <f>'Манная халва с шоко'!C26</f>
        <v>430</v>
      </c>
      <c r="E23" s="38">
        <f>'Манная халва с шоко'!C22</f>
        <v>0.1936692956</v>
      </c>
      <c r="F23" s="38">
        <f>'Манная халва с шоко'!C23</f>
        <v>0.1151359623</v>
      </c>
      <c r="G23" s="41">
        <f>'Манная халва с шоко'!I6</f>
        <v>180</v>
      </c>
      <c r="H23" s="39">
        <f>'Манная халва с шоко'!D16</f>
        <v>34.54078868</v>
      </c>
      <c r="I23" s="40">
        <f>'Манная халва с шоко'!D17</f>
        <v>0</v>
      </c>
      <c r="J23" s="40">
        <f>'Манная халва с шоко'!D18</f>
        <v>23.56</v>
      </c>
      <c r="K23" s="39">
        <f>'Манная халва с шоко'!C11</f>
        <v>34.54078868</v>
      </c>
    </row>
    <row r="24">
      <c r="A24" s="35" t="s">
        <v>221</v>
      </c>
    </row>
    <row r="25">
      <c r="B25" s="37" t="str">
        <f>'Комбо-1_1'!B1</f>
        <v>Комбо: Дюрюм + фри + соус + напиток</v>
      </c>
      <c r="C25" s="37">
        <f>'Комбо-1_1'!G8</f>
        <v>850</v>
      </c>
      <c r="D25" s="15">
        <f>'Комбо-1_1'!G10</f>
        <v>1360</v>
      </c>
      <c r="E25" s="38" t="str">
        <f>'Комбо-1_1'!L8</f>
        <v>#REF!</v>
      </c>
      <c r="G25" s="37">
        <f>'Комбо-1_1'!B8</f>
        <v>480</v>
      </c>
      <c r="H25" s="39" t="str">
        <f>'Комбо-1_1'!D8</f>
        <v>#REF!</v>
      </c>
      <c r="J25" s="43">
        <f>'Комбо-1_1'!D7</f>
        <v>52</v>
      </c>
      <c r="K25" s="39" t="str">
        <f>'Комбо-1_1'!D8</f>
        <v>#REF!</v>
      </c>
    </row>
    <row r="26">
      <c r="B26" s="37" t="str">
        <f>'Комбо-1_2'!B1</f>
        <v>Комбо: Дюрюм + суп +фри + соус + напиток</v>
      </c>
      <c r="C26" s="37">
        <f>'Комбо-1_2'!H9</f>
        <v>950</v>
      </c>
      <c r="D26" s="15">
        <f>'Комбо-1_2'!H11</f>
        <v>1360</v>
      </c>
      <c r="E26" s="38" t="str">
        <f>'Комбо-1_2'!L9</f>
        <v>#REF!</v>
      </c>
      <c r="G26" s="37">
        <f>'Комбо-1_2'!B9</f>
        <v>950</v>
      </c>
      <c r="H26" s="39" t="str">
        <f>'Комбо-1_2'!E9</f>
        <v>#REF!</v>
      </c>
      <c r="K26" s="39" t="str">
        <f>'Комбо-1_2'!E9</f>
        <v>#REF!</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14"/>
    <col customWidth="1" min="4" max="4" width="24.71"/>
  </cols>
  <sheetData>
    <row r="1">
      <c r="A1" s="44" t="s">
        <v>222</v>
      </c>
      <c r="B1" s="45" t="s">
        <v>223</v>
      </c>
      <c r="D1" s="15" t="s">
        <v>224</v>
      </c>
    </row>
    <row r="2">
      <c r="A2" s="6" t="s">
        <v>225</v>
      </c>
      <c r="B2" s="6">
        <v>30.0</v>
      </c>
    </row>
    <row r="3">
      <c r="A3" s="6" t="s">
        <v>226</v>
      </c>
      <c r="B3" s="4"/>
    </row>
    <row r="4">
      <c r="A4" s="46" t="s">
        <v>227</v>
      </c>
      <c r="B4" s="47">
        <f>sum(B2:B3)</f>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229</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173</v>
      </c>
      <c r="B4" s="58">
        <v>31.0</v>
      </c>
      <c r="C4" s="58">
        <v>30.0</v>
      </c>
      <c r="D4" s="6" t="s">
        <v>237</v>
      </c>
      <c r="E4" s="6">
        <f t="shared" ref="E4:E5" si="2">B4-C4</f>
        <v>1</v>
      </c>
      <c r="F4" s="5">
        <f t="shared" ref="F4:F5" si="3">E4/B4*100</f>
        <v>3.225806452</v>
      </c>
      <c r="G4" s="34">
        <f>VLOOKUP(A4,'Матрица поставщиков'!A1:E530,5,0) * B4</f>
        <v>15.469</v>
      </c>
      <c r="H4" s="59">
        <f>G4/G5</f>
        <v>1</v>
      </c>
      <c r="I4" s="4"/>
    </row>
    <row r="5">
      <c r="A5" s="44" t="s">
        <v>227</v>
      </c>
      <c r="B5" s="4">
        <f t="shared" ref="B5:C5" si="1">SUM(B4)</f>
        <v>31</v>
      </c>
      <c r="C5" s="4">
        <f t="shared" si="1"/>
        <v>30</v>
      </c>
      <c r="D5" s="6" t="s">
        <v>237</v>
      </c>
      <c r="E5" s="6">
        <f t="shared" si="2"/>
        <v>1</v>
      </c>
      <c r="F5" s="5">
        <f t="shared" si="3"/>
        <v>3.225806452</v>
      </c>
      <c r="G5" s="60">
        <f t="shared" ref="G5:H5" si="4">SUM(G4)</f>
        <v>15.469</v>
      </c>
      <c r="H5" s="61">
        <f t="shared" si="4"/>
        <v>1</v>
      </c>
      <c r="I5" s="62">
        <f>B5-E5</f>
        <v>30</v>
      </c>
    </row>
    <row r="7">
      <c r="A7" s="63" t="s">
        <v>238</v>
      </c>
    </row>
    <row r="8">
      <c r="A8" s="64" t="s">
        <v>239</v>
      </c>
      <c r="H8" s="65"/>
      <c r="I8" s="65"/>
    </row>
    <row r="9">
      <c r="B9" s="66" t="s">
        <v>208</v>
      </c>
      <c r="C9" s="66" t="s">
        <v>240</v>
      </c>
    </row>
    <row r="10">
      <c r="B10" s="17">
        <f>I5</f>
        <v>30</v>
      </c>
      <c r="C10" s="34">
        <f>G5/I5*B10</f>
        <v>15.469</v>
      </c>
    </row>
    <row r="11">
      <c r="B11" s="17">
        <v>1.0</v>
      </c>
      <c r="C11" s="34">
        <f>G5/I5*B11</f>
        <v>0.5156333333</v>
      </c>
    </row>
    <row r="13">
      <c r="B13" s="67" t="s">
        <v>241</v>
      </c>
      <c r="C13" s="68"/>
      <c r="D13" s="68"/>
      <c r="E13" s="68"/>
      <c r="F13" s="68"/>
      <c r="G13" s="68"/>
      <c r="H13" s="68"/>
      <c r="I13" s="68"/>
      <c r="J13" s="68"/>
      <c r="K13" s="68"/>
      <c r="L13" s="68"/>
      <c r="M13" s="69"/>
    </row>
    <row r="14">
      <c r="C14" s="15" t="s">
        <v>223</v>
      </c>
      <c r="D14" s="15" t="s">
        <v>242</v>
      </c>
      <c r="E14" s="15" t="s">
        <v>243</v>
      </c>
      <c r="G14" s="41"/>
    </row>
    <row r="15">
      <c r="B15" s="70"/>
      <c r="C15" s="71"/>
      <c r="F15" s="72" t="s">
        <v>244</v>
      </c>
      <c r="G15" s="6">
        <v>10.0</v>
      </c>
      <c r="H15" s="6">
        <v>15.0</v>
      </c>
      <c r="I15" s="6">
        <v>20.0</v>
      </c>
    </row>
    <row r="16">
      <c r="F16" s="72" t="s">
        <v>245</v>
      </c>
      <c r="G16" s="73">
        <f>D23*100/G15</f>
        <v>0</v>
      </c>
      <c r="H16" s="73">
        <f>D23*100/H15</f>
        <v>0</v>
      </c>
      <c r="I16" s="73">
        <f>D23*100/I15</f>
        <v>0</v>
      </c>
    </row>
    <row r="17">
      <c r="G17" s="41"/>
    </row>
    <row r="18">
      <c r="G18" s="41"/>
    </row>
    <row r="19">
      <c r="G19" s="41"/>
    </row>
    <row r="20">
      <c r="G20" s="41"/>
    </row>
    <row r="21">
      <c r="G21" s="4"/>
      <c r="H21" s="74" t="s">
        <v>246</v>
      </c>
      <c r="I21" s="74" t="s">
        <v>247</v>
      </c>
      <c r="J21" s="74" t="s">
        <v>248</v>
      </c>
    </row>
    <row r="22">
      <c r="G22" s="6" t="s">
        <v>249</v>
      </c>
      <c r="H22" s="75">
        <v>0.0</v>
      </c>
      <c r="I22" s="75">
        <v>0.0</v>
      </c>
      <c r="J22" s="75">
        <v>0.0</v>
      </c>
    </row>
    <row r="23">
      <c r="G23" s="6" t="s">
        <v>250</v>
      </c>
      <c r="H23" s="75">
        <v>0.0</v>
      </c>
      <c r="I23" s="75">
        <v>0.0</v>
      </c>
      <c r="J23" s="75">
        <v>0.0</v>
      </c>
    </row>
    <row r="24">
      <c r="G24" s="6" t="s">
        <v>251</v>
      </c>
      <c r="H24" s="75">
        <v>0.0</v>
      </c>
      <c r="I24" s="75">
        <v>0.0</v>
      </c>
      <c r="J24" s="75">
        <v>0.0</v>
      </c>
    </row>
    <row r="25">
      <c r="G25" s="6" t="s">
        <v>252</v>
      </c>
      <c r="H25" s="75">
        <v>0.0</v>
      </c>
      <c r="I25" s="75">
        <v>0.0</v>
      </c>
      <c r="J25" s="75">
        <v>0.0</v>
      </c>
    </row>
    <row r="26">
      <c r="G26" s="6" t="s">
        <v>253</v>
      </c>
      <c r="H26" s="75">
        <v>2.5</v>
      </c>
      <c r="I26" s="75">
        <v>2.5</v>
      </c>
      <c r="J26" s="75">
        <v>2.5</v>
      </c>
    </row>
    <row r="27">
      <c r="G27" s="6" t="s">
        <v>254</v>
      </c>
      <c r="H27" s="76">
        <v>2.26</v>
      </c>
      <c r="I27" s="76">
        <v>2.26</v>
      </c>
      <c r="J27" s="76">
        <v>2.26</v>
      </c>
    </row>
    <row r="28">
      <c r="G28" s="6" t="s">
        <v>255</v>
      </c>
      <c r="H28" s="75">
        <v>0.0</v>
      </c>
      <c r="I28" s="75">
        <v>0.0</v>
      </c>
      <c r="J28" s="75">
        <v>0.0</v>
      </c>
    </row>
    <row r="29">
      <c r="G29" s="4"/>
      <c r="H29" s="75"/>
      <c r="I29" s="75"/>
      <c r="J29" s="75"/>
    </row>
    <row r="30">
      <c r="B30" s="44" t="s">
        <v>256</v>
      </c>
      <c r="C30" s="46">
        <v>70.0</v>
      </c>
      <c r="D30" s="39">
        <f>C30+J31</f>
        <v>74.76</v>
      </c>
      <c r="G30" s="4"/>
      <c r="H30" s="75"/>
      <c r="I30" s="75"/>
      <c r="J30" s="75"/>
    </row>
    <row r="31">
      <c r="B31" s="6" t="s">
        <v>257</v>
      </c>
      <c r="C31" s="59">
        <f>J33/C30</f>
        <v>0.2889857143</v>
      </c>
      <c r="G31" s="6" t="s">
        <v>113</v>
      </c>
      <c r="H31" s="77">
        <f t="shared" ref="H31:J31" si="5">SUM(H22:H30)</f>
        <v>4.76</v>
      </c>
      <c r="I31" s="77">
        <f t="shared" si="5"/>
        <v>4.76</v>
      </c>
      <c r="J31" s="77">
        <f t="shared" si="5"/>
        <v>4.76</v>
      </c>
    </row>
    <row r="32">
      <c r="B32" s="6" t="s">
        <v>258</v>
      </c>
      <c r="C32" s="59">
        <f>G5/C30</f>
        <v>0.2209857143</v>
      </c>
      <c r="G32" s="4"/>
      <c r="H32" s="77"/>
      <c r="I32" s="77"/>
      <c r="J32" s="77"/>
    </row>
    <row r="33">
      <c r="G33" s="6" t="s">
        <v>259</v>
      </c>
      <c r="H33" s="77"/>
      <c r="I33" s="77"/>
      <c r="J33" s="77">
        <f>G5+J31</f>
        <v>20.229</v>
      </c>
    </row>
    <row r="35">
      <c r="B35" s="15" t="s">
        <v>204</v>
      </c>
      <c r="C35" s="78">
        <v>70.0</v>
      </c>
    </row>
    <row r="36">
      <c r="B36" s="15" t="s">
        <v>248</v>
      </c>
      <c r="C36" s="78">
        <v>100.0</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
    <cfRule type="colorScale" priority="2">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260</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108</v>
      </c>
      <c r="B4" s="58">
        <v>31.0</v>
      </c>
      <c r="C4" s="58">
        <v>30.0</v>
      </c>
      <c r="D4" s="6" t="s">
        <v>237</v>
      </c>
      <c r="E4" s="6">
        <f t="shared" ref="E4:E5" si="2">B4-C4</f>
        <v>1</v>
      </c>
      <c r="F4" s="5">
        <f t="shared" ref="F4:F5" si="3">E4/B4*100</f>
        <v>3.225806452</v>
      </c>
      <c r="G4" s="34">
        <f>VLOOKUP(A4,'Матрица поставщиков'!A1:E530,5,0) * B4</f>
        <v>8.64125</v>
      </c>
      <c r="H4" s="59">
        <f>G4/G5</f>
        <v>1</v>
      </c>
      <c r="I4" s="4"/>
    </row>
    <row r="5">
      <c r="A5" s="44" t="s">
        <v>227</v>
      </c>
      <c r="B5" s="4">
        <f t="shared" ref="B5:C5" si="1">SUM(B4)</f>
        <v>31</v>
      </c>
      <c r="C5" s="4">
        <f t="shared" si="1"/>
        <v>30</v>
      </c>
      <c r="D5" s="6" t="s">
        <v>237</v>
      </c>
      <c r="E5" s="6">
        <f t="shared" si="2"/>
        <v>1</v>
      </c>
      <c r="F5" s="5">
        <f t="shared" si="3"/>
        <v>3.225806452</v>
      </c>
      <c r="G5" s="60">
        <f t="shared" ref="G5:H5" si="4">SUM(G4)</f>
        <v>8.64125</v>
      </c>
      <c r="H5" s="61">
        <f t="shared" si="4"/>
        <v>1</v>
      </c>
      <c r="I5" s="62">
        <f>B5-E5</f>
        <v>30</v>
      </c>
    </row>
    <row r="7">
      <c r="A7" s="63" t="s">
        <v>238</v>
      </c>
    </row>
    <row r="8">
      <c r="A8" s="64" t="s">
        <v>239</v>
      </c>
      <c r="H8" s="65"/>
      <c r="I8" s="65"/>
    </row>
    <row r="9">
      <c r="B9" s="66" t="s">
        <v>208</v>
      </c>
      <c r="C9" s="66" t="s">
        <v>240</v>
      </c>
    </row>
    <row r="10">
      <c r="B10" s="17">
        <f>I5</f>
        <v>30</v>
      </c>
      <c r="C10" s="34">
        <f>G5/I5*B10</f>
        <v>8.64125</v>
      </c>
    </row>
    <row r="11">
      <c r="B11" s="17">
        <v>1.0</v>
      </c>
      <c r="C11" s="34">
        <f>G5/I5*B11</f>
        <v>0.2880416667</v>
      </c>
    </row>
    <row r="13">
      <c r="B13" s="67" t="s">
        <v>241</v>
      </c>
      <c r="C13" s="68"/>
      <c r="D13" s="68"/>
      <c r="E13" s="68"/>
      <c r="F13" s="68"/>
      <c r="G13" s="68"/>
      <c r="H13" s="68"/>
      <c r="I13" s="68"/>
      <c r="J13" s="68"/>
      <c r="K13" s="68"/>
      <c r="L13" s="68"/>
      <c r="M13" s="69"/>
    </row>
    <row r="14">
      <c r="C14" s="15" t="s">
        <v>223</v>
      </c>
      <c r="D14" s="15" t="s">
        <v>242</v>
      </c>
      <c r="E14" s="15" t="s">
        <v>243</v>
      </c>
      <c r="G14" s="41"/>
    </row>
    <row r="15">
      <c r="B15" s="70"/>
      <c r="C15" s="71"/>
      <c r="F15" s="72" t="s">
        <v>244</v>
      </c>
      <c r="G15" s="6">
        <v>10.0</v>
      </c>
      <c r="H15" s="6">
        <v>15.0</v>
      </c>
      <c r="I15" s="6">
        <v>20.0</v>
      </c>
    </row>
    <row r="16">
      <c r="F16" s="72" t="s">
        <v>245</v>
      </c>
      <c r="G16" s="73">
        <f>D23*100/G15</f>
        <v>0</v>
      </c>
      <c r="H16" s="73">
        <f>D23*100/H15</f>
        <v>0</v>
      </c>
      <c r="I16" s="73">
        <f>D23*100/I15</f>
        <v>0</v>
      </c>
    </row>
    <row r="17">
      <c r="G17" s="41"/>
    </row>
    <row r="18">
      <c r="G18" s="41"/>
    </row>
    <row r="19">
      <c r="G19" s="41"/>
    </row>
    <row r="20">
      <c r="G20" s="41"/>
    </row>
    <row r="30">
      <c r="B30" s="44" t="s">
        <v>256</v>
      </c>
      <c r="C30" s="46">
        <v>70.0</v>
      </c>
      <c r="D30" s="39">
        <f>C30+I38</f>
        <v>74.76</v>
      </c>
      <c r="F30" s="4"/>
      <c r="G30" s="79" t="s">
        <v>246</v>
      </c>
      <c r="H30" s="79" t="s">
        <v>247</v>
      </c>
      <c r="I30" s="79" t="s">
        <v>248</v>
      </c>
    </row>
    <row r="31">
      <c r="B31" s="6" t="s">
        <v>257</v>
      </c>
      <c r="C31" s="59">
        <f>I39/C30</f>
        <v>0.1914464286</v>
      </c>
      <c r="F31" s="44" t="s">
        <v>249</v>
      </c>
      <c r="G31" s="75">
        <v>0.0</v>
      </c>
      <c r="H31" s="75">
        <v>0.0</v>
      </c>
      <c r="I31" s="75">
        <v>0.0</v>
      </c>
    </row>
    <row r="32">
      <c r="B32" s="6" t="s">
        <v>258</v>
      </c>
      <c r="C32" s="59">
        <f>G5/C30</f>
        <v>0.1234464286</v>
      </c>
      <c r="F32" s="44" t="s">
        <v>250</v>
      </c>
      <c r="G32" s="75">
        <v>0.0</v>
      </c>
      <c r="H32" s="75">
        <v>0.0</v>
      </c>
      <c r="I32" s="75">
        <v>0.0</v>
      </c>
    </row>
    <row r="33">
      <c r="F33" s="44" t="s">
        <v>251</v>
      </c>
      <c r="G33" s="75">
        <v>0.0</v>
      </c>
      <c r="H33" s="75">
        <v>0.0</v>
      </c>
      <c r="I33" s="75">
        <v>0.0</v>
      </c>
    </row>
    <row r="34">
      <c r="F34" s="44" t="s">
        <v>252</v>
      </c>
      <c r="G34" s="75">
        <v>0.0</v>
      </c>
      <c r="H34" s="75">
        <v>0.0</v>
      </c>
      <c r="I34" s="75">
        <v>0.0</v>
      </c>
    </row>
    <row r="35">
      <c r="B35" s="15" t="s">
        <v>204</v>
      </c>
      <c r="C35" s="78">
        <v>70.0</v>
      </c>
      <c r="F35" s="44" t="s">
        <v>253</v>
      </c>
      <c r="G35" s="75">
        <v>2.5</v>
      </c>
      <c r="H35" s="75">
        <v>2.5</v>
      </c>
      <c r="I35" s="75">
        <v>2.5</v>
      </c>
    </row>
    <row r="36">
      <c r="B36" s="15" t="s">
        <v>248</v>
      </c>
      <c r="C36" s="78">
        <v>100.0</v>
      </c>
      <c r="F36" s="44" t="s">
        <v>254</v>
      </c>
      <c r="G36" s="76">
        <v>2.26</v>
      </c>
      <c r="H36" s="76">
        <v>2.26</v>
      </c>
      <c r="I36" s="76">
        <v>2.26</v>
      </c>
    </row>
    <row r="37">
      <c r="F37" s="44" t="s">
        <v>255</v>
      </c>
      <c r="G37" s="75">
        <v>0.0</v>
      </c>
      <c r="H37" s="75">
        <v>0.0</v>
      </c>
      <c r="I37" s="75">
        <v>0.0</v>
      </c>
    </row>
    <row r="38">
      <c r="F38" s="6" t="s">
        <v>113</v>
      </c>
      <c r="G38" s="77">
        <f t="shared" ref="G38:I38" si="5">SUM(G31:G37)</f>
        <v>4.76</v>
      </c>
      <c r="H38" s="77">
        <f t="shared" si="5"/>
        <v>4.76</v>
      </c>
      <c r="I38" s="77">
        <f t="shared" si="5"/>
        <v>4.76</v>
      </c>
    </row>
    <row r="39">
      <c r="F39" s="6" t="s">
        <v>212</v>
      </c>
      <c r="G39" s="77"/>
      <c r="H39" s="77"/>
      <c r="I39" s="77">
        <f>G5+I38</f>
        <v>13.40125</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
    <cfRule type="colorScale" priority="2">
      <colorScale>
        <cfvo type="min"/>
        <cfvo type="max"/>
        <color rgb="FFFFFFFF"/>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4.43" defaultRowHeight="15.0"/>
  <cols>
    <col customWidth="1" min="1" max="1" width="57.57"/>
    <col customWidth="1" min="2" max="2" width="26.57"/>
    <col customWidth="1" min="5" max="5" width="19.43"/>
    <col customWidth="1" min="11" max="11" width="20.14"/>
    <col customWidth="1" min="12" max="12" width="22.29"/>
  </cols>
  <sheetData>
    <row r="1">
      <c r="A1" s="48" t="s">
        <v>228</v>
      </c>
      <c r="B1" s="49" t="s">
        <v>261</v>
      </c>
      <c r="C1" s="50"/>
      <c r="D1" s="50"/>
      <c r="E1" s="50"/>
      <c r="F1" s="50"/>
      <c r="G1" s="50"/>
      <c r="H1" s="50"/>
      <c r="I1" s="51"/>
    </row>
    <row r="2">
      <c r="A2" s="52"/>
      <c r="B2" s="53"/>
      <c r="C2" s="54"/>
      <c r="D2" s="54"/>
      <c r="E2" s="54"/>
      <c r="F2" s="54"/>
      <c r="G2" s="54"/>
      <c r="H2" s="54"/>
      <c r="I2" s="55"/>
      <c r="K2" s="67" t="s">
        <v>262</v>
      </c>
      <c r="L2" s="69"/>
    </row>
    <row r="3">
      <c r="A3" s="56" t="s">
        <v>0</v>
      </c>
      <c r="B3" s="56" t="s">
        <v>230</v>
      </c>
      <c r="C3" s="56" t="s">
        <v>231</v>
      </c>
      <c r="D3" s="56" t="s">
        <v>1</v>
      </c>
      <c r="E3" s="57" t="s">
        <v>232</v>
      </c>
      <c r="F3" s="57" t="s">
        <v>233</v>
      </c>
      <c r="G3" s="57" t="s">
        <v>234</v>
      </c>
      <c r="H3" s="57" t="s">
        <v>235</v>
      </c>
      <c r="I3" s="57" t="s">
        <v>236</v>
      </c>
      <c r="K3" s="45" t="s">
        <v>263</v>
      </c>
      <c r="L3" s="45" t="s">
        <v>264</v>
      </c>
    </row>
    <row r="4">
      <c r="A4" s="11" t="s">
        <v>143</v>
      </c>
      <c r="B4" s="58">
        <v>150.0</v>
      </c>
      <c r="C4" s="58">
        <f t="shared" ref="C4:C6" si="1">B4</f>
        <v>150</v>
      </c>
      <c r="D4" s="6" t="s">
        <v>265</v>
      </c>
      <c r="E4" s="6">
        <f t="shared" ref="E4:E9" si="2">B4-C4</f>
        <v>0</v>
      </c>
      <c r="F4" s="5">
        <f t="shared" ref="F4:F9" si="3">E4/B4*100</f>
        <v>0</v>
      </c>
      <c r="G4" s="34">
        <f>VLOOKUP(A4,'Матрица поставщиков'!A1:E60,5,False) * B4</f>
        <v>4.35</v>
      </c>
      <c r="H4" s="59">
        <f>G4/G9</f>
        <v>0.1497418244</v>
      </c>
      <c r="I4" s="80"/>
      <c r="K4" s="6" t="s">
        <v>266</v>
      </c>
      <c r="L4" s="6" t="s">
        <v>267</v>
      </c>
    </row>
    <row r="5">
      <c r="A5" s="11" t="s">
        <v>141</v>
      </c>
      <c r="B5" s="58">
        <v>25.0</v>
      </c>
      <c r="C5" s="58">
        <f t="shared" si="1"/>
        <v>25</v>
      </c>
      <c r="D5" s="6" t="s">
        <v>265</v>
      </c>
      <c r="E5" s="6">
        <f t="shared" si="2"/>
        <v>0</v>
      </c>
      <c r="F5" s="5">
        <f t="shared" si="3"/>
        <v>0</v>
      </c>
      <c r="G5" s="34">
        <f>VLOOKUP(A5,'Матрица поставщиков'!A1:E100,5,False) * B5</f>
        <v>10</v>
      </c>
      <c r="H5" s="59">
        <f t="shared" ref="H5:H8" si="4">G5/$G$9</f>
        <v>0.3442340792</v>
      </c>
      <c r="I5" s="81"/>
      <c r="K5" s="6" t="s">
        <v>268</v>
      </c>
      <c r="L5" s="6" t="s">
        <v>269</v>
      </c>
    </row>
    <row r="6">
      <c r="A6" s="11" t="s">
        <v>141</v>
      </c>
      <c r="B6" s="58">
        <v>20.0</v>
      </c>
      <c r="C6" s="58">
        <f t="shared" si="1"/>
        <v>20</v>
      </c>
      <c r="D6" s="6" t="s">
        <v>265</v>
      </c>
      <c r="E6" s="6">
        <f t="shared" si="2"/>
        <v>0</v>
      </c>
      <c r="F6" s="5">
        <f t="shared" si="3"/>
        <v>0</v>
      </c>
      <c r="G6" s="34">
        <f>VLOOKUP(A6,'Матрица поставщиков'!A2:E101,5,False) * B6</f>
        <v>8</v>
      </c>
      <c r="H6" s="59">
        <f t="shared" si="4"/>
        <v>0.2753872633</v>
      </c>
      <c r="I6" s="81"/>
      <c r="K6" s="6" t="s">
        <v>270</v>
      </c>
      <c r="L6" s="6" t="s">
        <v>11</v>
      </c>
    </row>
    <row r="7">
      <c r="A7" s="11" t="s">
        <v>140</v>
      </c>
      <c r="B7" s="58">
        <v>20.0</v>
      </c>
      <c r="C7" s="58">
        <v>20.0</v>
      </c>
      <c r="D7" s="6" t="s">
        <v>265</v>
      </c>
      <c r="E7" s="6">
        <f t="shared" si="2"/>
        <v>0</v>
      </c>
      <c r="F7" s="5">
        <f t="shared" si="3"/>
        <v>0</v>
      </c>
      <c r="G7" s="34">
        <f>VLOOKUP(A7,'Матрица поставщиков'!A3:E62,5,False) * B7</f>
        <v>6.7</v>
      </c>
      <c r="H7" s="59">
        <f t="shared" si="4"/>
        <v>0.230636833</v>
      </c>
      <c r="I7" s="81"/>
      <c r="K7" s="6" t="s">
        <v>271</v>
      </c>
      <c r="L7" s="6" t="s">
        <v>272</v>
      </c>
    </row>
    <row r="8">
      <c r="A8" s="11" t="s">
        <v>144</v>
      </c>
      <c r="B8" s="58">
        <v>150.0</v>
      </c>
      <c r="C8" s="58">
        <v>150.0</v>
      </c>
      <c r="D8" s="6" t="s">
        <v>265</v>
      </c>
      <c r="E8" s="6">
        <f t="shared" si="2"/>
        <v>0</v>
      </c>
      <c r="F8" s="5">
        <f t="shared" si="3"/>
        <v>0</v>
      </c>
      <c r="G8" s="34">
        <f>VLOOKUP(A8,'Матрица поставщиков'!A4:E62,5,False) * B8</f>
        <v>0</v>
      </c>
      <c r="H8" s="59">
        <f t="shared" si="4"/>
        <v>0</v>
      </c>
      <c r="I8" s="52"/>
      <c r="K8" s="6" t="s">
        <v>273</v>
      </c>
      <c r="L8" s="6" t="s">
        <v>274</v>
      </c>
    </row>
    <row r="9">
      <c r="A9" s="44" t="s">
        <v>227</v>
      </c>
      <c r="B9" s="4">
        <f>SUM(B4:B8)</f>
        <v>365</v>
      </c>
      <c r="C9" s="4">
        <f>SUM(C3:C8)</f>
        <v>365</v>
      </c>
      <c r="D9" s="82" t="s">
        <v>275</v>
      </c>
      <c r="E9" s="6">
        <f t="shared" si="2"/>
        <v>0</v>
      </c>
      <c r="F9" s="5">
        <f t="shared" si="3"/>
        <v>0</v>
      </c>
      <c r="G9" s="60">
        <f t="shared" ref="G9:H9" si="5">SUM(G4:G8)</f>
        <v>29.05</v>
      </c>
      <c r="H9" s="61">
        <f t="shared" si="5"/>
        <v>1</v>
      </c>
      <c r="I9" s="62">
        <f>B9-E9</f>
        <v>365</v>
      </c>
    </row>
    <row r="11">
      <c r="A11" s="63" t="s">
        <v>238</v>
      </c>
    </row>
    <row r="12">
      <c r="A12" s="64" t="s">
        <v>276</v>
      </c>
      <c r="H12" s="65"/>
      <c r="I12" s="65"/>
    </row>
    <row r="17">
      <c r="B17" s="67" t="s">
        <v>241</v>
      </c>
      <c r="C17" s="68"/>
      <c r="D17" s="68"/>
      <c r="E17" s="68"/>
      <c r="F17" s="68"/>
      <c r="G17" s="68"/>
      <c r="H17" s="69"/>
    </row>
    <row r="18">
      <c r="B18" s="83" t="s">
        <v>208</v>
      </c>
      <c r="C18" s="83" t="s">
        <v>240</v>
      </c>
      <c r="E18" s="72" t="s">
        <v>244</v>
      </c>
      <c r="F18" s="6">
        <v>10.0</v>
      </c>
      <c r="G18" s="6">
        <v>15.0</v>
      </c>
      <c r="H18" s="6">
        <v>20.0</v>
      </c>
    </row>
    <row r="19">
      <c r="B19" s="17">
        <f>B9</f>
        <v>365</v>
      </c>
      <c r="C19" s="34">
        <f>G9/I9*B19</f>
        <v>29.05</v>
      </c>
      <c r="E19" s="72" t="s">
        <v>245</v>
      </c>
      <c r="F19" s="73">
        <f>D26*100/F18</f>
        <v>379.215</v>
      </c>
      <c r="G19" s="73">
        <f>D26*100/G18</f>
        <v>252.81</v>
      </c>
      <c r="H19" s="73">
        <f>D26*100/H18</f>
        <v>189.6075</v>
      </c>
    </row>
    <row r="20">
      <c r="B20" s="17">
        <v>1.0</v>
      </c>
      <c r="C20" s="34">
        <f>G9/I9*B20</f>
        <v>0.0795890411</v>
      </c>
    </row>
    <row r="21">
      <c r="G21" s="41"/>
    </row>
    <row r="22">
      <c r="B22" s="4"/>
      <c r="C22" s="44" t="s">
        <v>223</v>
      </c>
      <c r="D22" s="44" t="s">
        <v>242</v>
      </c>
    </row>
    <row r="23">
      <c r="B23" s="44" t="s">
        <v>277</v>
      </c>
      <c r="C23" s="84">
        <f>D23/D26</f>
        <v>0.766056195</v>
      </c>
      <c r="D23" s="34">
        <f>C19</f>
        <v>29.05</v>
      </c>
    </row>
    <row r="24">
      <c r="B24" s="44" t="s">
        <v>249</v>
      </c>
      <c r="C24" s="85">
        <v>0.03</v>
      </c>
      <c r="D24" s="86">
        <f>D23*C24</f>
        <v>0.8715</v>
      </c>
    </row>
    <row r="25">
      <c r="B25" s="44" t="s">
        <v>113</v>
      </c>
      <c r="C25" s="84">
        <f>D25/D26</f>
        <v>0.2109621191</v>
      </c>
      <c r="D25" s="6">
        <v>8.0</v>
      </c>
    </row>
    <row r="26">
      <c r="B26" s="6" t="s">
        <v>278</v>
      </c>
      <c r="C26" s="4"/>
      <c r="D26" s="34">
        <f>SUM(D23:D25)</f>
        <v>37.9215</v>
      </c>
    </row>
    <row r="28">
      <c r="B28" s="44" t="s">
        <v>256</v>
      </c>
      <c r="C28" s="87">
        <v>200.0</v>
      </c>
    </row>
    <row r="29">
      <c r="B29" s="6" t="s">
        <v>257</v>
      </c>
      <c r="C29" s="59">
        <f>D26/C28</f>
        <v>0.1896075</v>
      </c>
    </row>
    <row r="30">
      <c r="B30" s="6" t="s">
        <v>258</v>
      </c>
      <c r="C30" s="59">
        <f>D23/C28</f>
        <v>0.14525</v>
      </c>
    </row>
  </sheetData>
  <mergeCells count="7">
    <mergeCell ref="A1:A2"/>
    <mergeCell ref="B1:I2"/>
    <mergeCell ref="K2:L2"/>
    <mergeCell ref="I4:I8"/>
    <mergeCell ref="A11:I11"/>
    <mergeCell ref="A12:G12"/>
    <mergeCell ref="B17:H17"/>
  </mergeCells>
  <conditionalFormatting sqref="F18:H18">
    <cfRule type="colorScale" priority="1">
      <colorScale>
        <cfvo type="min"/>
        <cfvo type="percentile" val="50"/>
        <cfvo type="max"/>
        <color rgb="FF57BB8A"/>
        <color rgb="FFFFD666"/>
        <color rgb="FFE67C73"/>
      </colorScale>
    </cfRule>
  </conditionalFormatting>
  <conditionalFormatting sqref="H4:H8">
    <cfRule type="colorScale" priority="2">
      <colorScale>
        <cfvo type="min"/>
        <cfvo type="max"/>
        <color rgb="FFFFFFFF"/>
        <color rgb="FFE67C73"/>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215</v>
      </c>
      <c r="C1" s="50"/>
      <c r="D1" s="50"/>
      <c r="E1" s="50"/>
      <c r="F1" s="50"/>
      <c r="G1" s="50"/>
      <c r="H1" s="50"/>
      <c r="I1" s="51"/>
    </row>
    <row r="2">
      <c r="A2" s="52"/>
      <c r="B2" s="53"/>
      <c r="C2" s="54"/>
      <c r="D2" s="54"/>
      <c r="E2" s="54"/>
      <c r="F2" s="54"/>
      <c r="G2" s="54"/>
      <c r="H2" s="54"/>
      <c r="I2" s="55"/>
    </row>
    <row r="3">
      <c r="A3" s="56" t="s">
        <v>0</v>
      </c>
      <c r="B3" s="56" t="s">
        <v>230</v>
      </c>
      <c r="C3" s="56" t="s">
        <v>1</v>
      </c>
      <c r="D3" s="57" t="s">
        <v>234</v>
      </c>
      <c r="E3" s="57" t="s">
        <v>235</v>
      </c>
      <c r="F3" s="57" t="s">
        <v>236</v>
      </c>
    </row>
    <row r="4">
      <c r="A4" s="6" t="s">
        <v>154</v>
      </c>
      <c r="B4" s="58">
        <v>270.0</v>
      </c>
      <c r="C4" s="6" t="s">
        <v>237</v>
      </c>
      <c r="D4" s="34">
        <f>VLOOKUP(A4,'Матрица поставщиков'!A1:E100,5,0) * B4</f>
        <v>42</v>
      </c>
      <c r="E4" s="61">
        <f>D4/D5</f>
        <v>1</v>
      </c>
      <c r="F4" s="4">
        <f>B5</f>
        <v>270</v>
      </c>
    </row>
    <row r="5">
      <c r="A5" s="44" t="s">
        <v>227</v>
      </c>
      <c r="B5" s="4">
        <f>B4</f>
        <v>270</v>
      </c>
      <c r="C5" s="82" t="s">
        <v>275</v>
      </c>
      <c r="D5" s="60">
        <f t="shared" ref="D5:F5" si="1">SUM(D4)</f>
        <v>42</v>
      </c>
      <c r="E5" s="61">
        <f t="shared" si="1"/>
        <v>1</v>
      </c>
      <c r="F5" s="62">
        <f t="shared" si="1"/>
        <v>270</v>
      </c>
    </row>
    <row r="7">
      <c r="A7" s="63"/>
    </row>
    <row r="8">
      <c r="A8" s="64"/>
      <c r="H8" s="65"/>
      <c r="I8" s="65"/>
    </row>
    <row r="9">
      <c r="B9" s="66" t="s">
        <v>208</v>
      </c>
      <c r="C9" s="66" t="s">
        <v>240</v>
      </c>
    </row>
    <row r="10">
      <c r="B10" s="17">
        <f>B5</f>
        <v>270</v>
      </c>
      <c r="C10" s="34">
        <f>D5</f>
        <v>42</v>
      </c>
    </row>
    <row r="11">
      <c r="B11" s="17">
        <v>1.0</v>
      </c>
      <c r="C11" s="34">
        <f>C10/250</f>
        <v>0.168</v>
      </c>
    </row>
    <row r="13">
      <c r="B13" s="67" t="s">
        <v>241</v>
      </c>
      <c r="C13" s="68"/>
      <c r="D13" s="68"/>
      <c r="E13" s="68"/>
      <c r="F13" s="68"/>
      <c r="G13" s="68"/>
      <c r="H13" s="68"/>
      <c r="I13" s="68"/>
      <c r="J13" s="68"/>
      <c r="K13" s="68"/>
      <c r="L13" s="68"/>
      <c r="M13" s="69"/>
    </row>
    <row r="14">
      <c r="C14" s="15" t="s">
        <v>223</v>
      </c>
      <c r="D14" s="15" t="s">
        <v>242</v>
      </c>
      <c r="E14" s="15" t="s">
        <v>243</v>
      </c>
      <c r="G14" s="41"/>
    </row>
    <row r="15">
      <c r="B15" s="70" t="s">
        <v>277</v>
      </c>
      <c r="C15" s="71">
        <f>D15/D18</f>
        <v>1</v>
      </c>
      <c r="D15" s="39">
        <f>C10</f>
        <v>42</v>
      </c>
      <c r="F15" s="72" t="s">
        <v>244</v>
      </c>
      <c r="G15" s="6">
        <v>10.0</v>
      </c>
      <c r="H15" s="6">
        <v>15.0</v>
      </c>
      <c r="I15" s="6">
        <v>20.0</v>
      </c>
    </row>
    <row r="16">
      <c r="B16" s="70" t="s">
        <v>249</v>
      </c>
      <c r="C16" s="88">
        <v>0.04</v>
      </c>
      <c r="D16" s="89">
        <v>0.0</v>
      </c>
      <c r="F16" s="72" t="s">
        <v>245</v>
      </c>
      <c r="G16" s="73">
        <f>D18*100/G15</f>
        <v>420</v>
      </c>
      <c r="H16" s="73">
        <f>D18*100/H15</f>
        <v>280</v>
      </c>
      <c r="I16" s="73">
        <f>D18*100/I15</f>
        <v>210</v>
      </c>
    </row>
    <row r="17">
      <c r="B17" s="70" t="s">
        <v>113</v>
      </c>
      <c r="C17" s="71">
        <f>D17/D18</f>
        <v>0</v>
      </c>
      <c r="D17" s="15">
        <v>0.0</v>
      </c>
      <c r="G17" s="41"/>
    </row>
    <row r="18">
      <c r="B18" s="15" t="s">
        <v>278</v>
      </c>
      <c r="D18" s="39">
        <f>SUM(D15:D17)</f>
        <v>42</v>
      </c>
      <c r="G18" s="41"/>
    </row>
    <row r="19">
      <c r="G19" s="41"/>
    </row>
    <row r="20">
      <c r="G20" s="41"/>
    </row>
    <row r="22">
      <c r="C22" s="15" t="s">
        <v>279</v>
      </c>
      <c r="D22" s="15" t="s">
        <v>280</v>
      </c>
    </row>
    <row r="23">
      <c r="B23" s="44" t="s">
        <v>256</v>
      </c>
      <c r="C23" s="46">
        <v>190.0</v>
      </c>
      <c r="D23" s="41">
        <f>(C23/70)*100</f>
        <v>271.4285714</v>
      </c>
    </row>
    <row r="24">
      <c r="B24" s="6" t="s">
        <v>257</v>
      </c>
      <c r="C24" s="59">
        <f>D18/C23</f>
        <v>0.2210526316</v>
      </c>
    </row>
    <row r="25">
      <c r="B25" s="6" t="s">
        <v>258</v>
      </c>
      <c r="C25" s="59">
        <f>D15/C23</f>
        <v>0.2210526316</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E4">
    <cfRule type="colorScale" priority="2">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281</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138</v>
      </c>
      <c r="B4" s="58">
        <v>200.0</v>
      </c>
      <c r="C4" s="58">
        <f t="shared" ref="C4:C8" si="1">B4</f>
        <v>200</v>
      </c>
      <c r="D4" s="6" t="s">
        <v>12</v>
      </c>
      <c r="E4" s="6">
        <f t="shared" ref="E4:E9" si="2">B4-C4</f>
        <v>0</v>
      </c>
      <c r="F4" s="5">
        <f t="shared" ref="F4:F9" si="3">E4/B4*100</f>
        <v>0</v>
      </c>
      <c r="G4" s="34">
        <f>VLOOKUP(A4,'Матрица поставщиков'!A1:E52,5,False) * B4</f>
        <v>47.5</v>
      </c>
      <c r="H4" s="59">
        <f>G4/G9</f>
        <v>0.7450980392</v>
      </c>
      <c r="I4" s="80"/>
    </row>
    <row r="5">
      <c r="A5" s="11" t="s">
        <v>140</v>
      </c>
      <c r="B5" s="58">
        <v>10.0</v>
      </c>
      <c r="C5" s="58">
        <f t="shared" si="1"/>
        <v>10</v>
      </c>
      <c r="D5" s="6" t="s">
        <v>12</v>
      </c>
      <c r="E5" s="6">
        <f t="shared" si="2"/>
        <v>0</v>
      </c>
      <c r="F5" s="5">
        <f t="shared" si="3"/>
        <v>0</v>
      </c>
      <c r="G5" s="34">
        <f>VLOOKUP(A5,'Матрица поставщиков'!A1:E53,5,False) * B5</f>
        <v>3.35</v>
      </c>
      <c r="H5" s="59">
        <f>G5/G9</f>
        <v>0.05254901961</v>
      </c>
      <c r="I5" s="81"/>
    </row>
    <row r="6">
      <c r="A6" s="11" t="s">
        <v>141</v>
      </c>
      <c r="B6" s="58">
        <v>25.0</v>
      </c>
      <c r="C6" s="58">
        <f t="shared" si="1"/>
        <v>25</v>
      </c>
      <c r="D6" s="6" t="s">
        <v>12</v>
      </c>
      <c r="E6" s="6">
        <f t="shared" si="2"/>
        <v>0</v>
      </c>
      <c r="F6" s="5">
        <f t="shared" si="3"/>
        <v>0</v>
      </c>
      <c r="G6" s="34">
        <f>VLOOKUP(A6,'Матрица поставщиков'!A1:E57,5,False) * B6</f>
        <v>10</v>
      </c>
      <c r="H6" s="59">
        <f>G6/G9</f>
        <v>0.1568627451</v>
      </c>
      <c r="I6" s="81"/>
    </row>
    <row r="7">
      <c r="A7" s="11" t="s">
        <v>143</v>
      </c>
      <c r="B7" s="58">
        <v>100.0</v>
      </c>
      <c r="C7" s="58">
        <f t="shared" si="1"/>
        <v>100</v>
      </c>
      <c r="D7" s="6" t="s">
        <v>12</v>
      </c>
      <c r="E7" s="6">
        <f t="shared" si="2"/>
        <v>0</v>
      </c>
      <c r="F7" s="5">
        <f t="shared" si="3"/>
        <v>0</v>
      </c>
      <c r="G7" s="34">
        <f>VLOOKUP(A7,'Матрица поставщиков'!A2:E58,5,False) * B7</f>
        <v>2.9</v>
      </c>
      <c r="H7" s="59">
        <f>G7/G9</f>
        <v>0.04549019608</v>
      </c>
      <c r="I7" s="81"/>
    </row>
    <row r="8">
      <c r="A8" s="11" t="s">
        <v>144</v>
      </c>
      <c r="B8" s="90">
        <v>30.0</v>
      </c>
      <c r="C8" s="58">
        <f t="shared" si="1"/>
        <v>30</v>
      </c>
      <c r="D8" s="6" t="s">
        <v>6</v>
      </c>
      <c r="E8" s="6">
        <f t="shared" si="2"/>
        <v>0</v>
      </c>
      <c r="F8" s="5">
        <f t="shared" si="3"/>
        <v>0</v>
      </c>
      <c r="G8" s="34">
        <f>VLOOKUP(A8,'Матрица поставщиков'!A3:E59,5,False) * B8</f>
        <v>0</v>
      </c>
      <c r="H8" s="59">
        <f>G8/G9</f>
        <v>0</v>
      </c>
      <c r="I8" s="52"/>
    </row>
    <row r="9">
      <c r="A9" s="44" t="s">
        <v>227</v>
      </c>
      <c r="B9" s="4">
        <f>sum(B4:B8)</f>
        <v>365</v>
      </c>
      <c r="C9" s="4">
        <f>SUM(C4:C8)</f>
        <v>365</v>
      </c>
      <c r="D9" s="82" t="s">
        <v>275</v>
      </c>
      <c r="E9" s="6">
        <f t="shared" si="2"/>
        <v>0</v>
      </c>
      <c r="F9" s="5">
        <f t="shared" si="3"/>
        <v>0</v>
      </c>
      <c r="G9" s="60">
        <f>SUM(G4:G8)</f>
        <v>63.75</v>
      </c>
      <c r="H9" s="61">
        <f>SUM(H4:H6)</f>
        <v>0.9545098039</v>
      </c>
      <c r="I9" s="62">
        <f>B9-E9</f>
        <v>365</v>
      </c>
    </row>
    <row r="11">
      <c r="A11" s="63" t="s">
        <v>238</v>
      </c>
    </row>
    <row r="12">
      <c r="A12" s="64" t="s">
        <v>282</v>
      </c>
      <c r="H12" s="65"/>
      <c r="I12" s="65"/>
    </row>
    <row r="14">
      <c r="B14" s="66" t="s">
        <v>208</v>
      </c>
      <c r="C14" s="66" t="s">
        <v>240</v>
      </c>
    </row>
    <row r="15">
      <c r="B15" s="17">
        <f>I9</f>
        <v>365</v>
      </c>
      <c r="C15" s="34">
        <f>G9/I9*B15</f>
        <v>63.75</v>
      </c>
    </row>
    <row r="16">
      <c r="B16" s="17">
        <v>1.0</v>
      </c>
      <c r="C16" s="34">
        <f>G9/I9*B16</f>
        <v>0.1746575342</v>
      </c>
    </row>
    <row r="18">
      <c r="B18" s="67" t="s">
        <v>241</v>
      </c>
      <c r="C18" s="68"/>
      <c r="D18" s="68"/>
      <c r="E18" s="68"/>
      <c r="F18" s="68"/>
      <c r="G18" s="68"/>
      <c r="H18" s="68"/>
      <c r="I18" s="68"/>
      <c r="J18" s="68"/>
      <c r="K18" s="68"/>
      <c r="L18" s="68"/>
      <c r="M18" s="69"/>
    </row>
    <row r="19">
      <c r="B19" s="4"/>
      <c r="C19" s="6" t="s">
        <v>223</v>
      </c>
      <c r="D19" s="6" t="s">
        <v>242</v>
      </c>
      <c r="G19" s="41"/>
    </row>
    <row r="20">
      <c r="B20" s="44" t="s">
        <v>277</v>
      </c>
      <c r="C20" s="84">
        <f>D20/D23</f>
        <v>0.8697135061</v>
      </c>
      <c r="D20" s="34">
        <f>C15</f>
        <v>63.75</v>
      </c>
      <c r="F20" s="72" t="s">
        <v>244</v>
      </c>
      <c r="G20" s="6">
        <v>15.0</v>
      </c>
      <c r="H20" s="6">
        <v>20.0</v>
      </c>
      <c r="I20" s="6">
        <v>22.0</v>
      </c>
    </row>
    <row r="21">
      <c r="B21" s="44" t="s">
        <v>249</v>
      </c>
      <c r="C21" s="85">
        <v>0.04</v>
      </c>
      <c r="D21" s="86">
        <f>D20*C21</f>
        <v>2.55</v>
      </c>
      <c r="F21" s="72" t="s">
        <v>245</v>
      </c>
      <c r="G21" s="73">
        <f>D23*100/G20</f>
        <v>488.6666667</v>
      </c>
      <c r="H21" s="73">
        <f>D23*100/H20</f>
        <v>366.5</v>
      </c>
      <c r="I21" s="73">
        <f>D23*100/I20</f>
        <v>333.1818182</v>
      </c>
    </row>
    <row r="22">
      <c r="B22" s="44" t="s">
        <v>113</v>
      </c>
      <c r="C22" s="84">
        <f>D22/D23</f>
        <v>0.09549795362</v>
      </c>
      <c r="D22" s="6">
        <v>7.0</v>
      </c>
      <c r="G22" s="41"/>
    </row>
    <row r="23">
      <c r="B23" s="6" t="s">
        <v>278</v>
      </c>
      <c r="C23" s="4"/>
      <c r="D23" s="34">
        <f>SUM(D20:D22)</f>
        <v>73.3</v>
      </c>
      <c r="G23" s="41"/>
    </row>
    <row r="24">
      <c r="G24" s="41"/>
    </row>
    <row r="25">
      <c r="B25" s="44" t="s">
        <v>256</v>
      </c>
      <c r="C25" s="46">
        <v>290.0</v>
      </c>
      <c r="G25" s="41"/>
    </row>
    <row r="26">
      <c r="B26" s="6" t="s">
        <v>257</v>
      </c>
      <c r="C26" s="59">
        <f>D23/C25</f>
        <v>0.2527586207</v>
      </c>
    </row>
    <row r="27">
      <c r="B27" s="6" t="s">
        <v>258</v>
      </c>
      <c r="C27" s="59">
        <f>D20/C25</f>
        <v>0.2198275862</v>
      </c>
    </row>
    <row r="35">
      <c r="H35" s="91"/>
    </row>
  </sheetData>
  <mergeCells count="6">
    <mergeCell ref="A1:A2"/>
    <mergeCell ref="B1:I2"/>
    <mergeCell ref="I4:I8"/>
    <mergeCell ref="A11:I11"/>
    <mergeCell ref="A12:G12"/>
    <mergeCell ref="B18:M18"/>
  </mergeCells>
  <conditionalFormatting sqref="G20:I20">
    <cfRule type="colorScale" priority="1">
      <colorScale>
        <cfvo type="min"/>
        <cfvo type="percentile" val="50"/>
        <cfvo type="max"/>
        <color rgb="FF57BB8A"/>
        <color rgb="FFFFD666"/>
        <color rgb="FFE67C73"/>
      </colorScale>
    </cfRule>
  </conditionalFormatting>
  <conditionalFormatting sqref="H4:H8">
    <cfRule type="colorScale" priority="2">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261</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145</v>
      </c>
      <c r="B4" s="58">
        <v>17.5</v>
      </c>
      <c r="C4" s="58">
        <f t="shared" ref="C4:C6" si="1">B4</f>
        <v>17.5</v>
      </c>
      <c r="D4" s="6" t="s">
        <v>237</v>
      </c>
      <c r="E4" s="6">
        <f t="shared" ref="E4:E6" si="2">B4-C4</f>
        <v>0</v>
      </c>
      <c r="F4" s="5">
        <f t="shared" ref="F4:F6" si="3">E4/B4*100</f>
        <v>0</v>
      </c>
      <c r="G4" s="34">
        <f>VLOOKUP(A4,'Матрица поставщиков'!A1:E60,5,False) * B4</f>
        <v>28.84</v>
      </c>
      <c r="H4" s="59">
        <f>G4/G6</f>
        <v>1</v>
      </c>
      <c r="I4" s="80"/>
    </row>
    <row r="5">
      <c r="A5" s="11" t="s">
        <v>40</v>
      </c>
      <c r="B5" s="6">
        <v>4800.0</v>
      </c>
      <c r="C5" s="58">
        <f t="shared" si="1"/>
        <v>4800</v>
      </c>
      <c r="D5" s="6" t="s">
        <v>237</v>
      </c>
      <c r="E5" s="6">
        <f t="shared" si="2"/>
        <v>0</v>
      </c>
      <c r="F5" s="5">
        <f t="shared" si="3"/>
        <v>0</v>
      </c>
      <c r="G5" s="34">
        <f>(VLOOKUP(A5,'Матрица поставщиков'!A1:E53,5,False) * B5)/10</f>
        <v>0</v>
      </c>
      <c r="H5" s="59">
        <f>G5/G6</f>
        <v>0</v>
      </c>
      <c r="I5" s="52"/>
    </row>
    <row r="6">
      <c r="A6" s="44" t="s">
        <v>227</v>
      </c>
      <c r="B6" s="6">
        <f>B5</f>
        <v>4800</v>
      </c>
      <c r="C6" s="4">
        <f t="shared" si="1"/>
        <v>4800</v>
      </c>
      <c r="D6" s="82" t="s">
        <v>275</v>
      </c>
      <c r="E6" s="6">
        <f t="shared" si="2"/>
        <v>0</v>
      </c>
      <c r="F6" s="5">
        <f t="shared" si="3"/>
        <v>0</v>
      </c>
      <c r="G6" s="60">
        <f t="shared" ref="G6:H6" si="4">SUM(G4:G5)</f>
        <v>28.84</v>
      </c>
      <c r="H6" s="61">
        <f t="shared" si="4"/>
        <v>1</v>
      </c>
      <c r="I6" s="62">
        <f>B6-E6</f>
        <v>4800</v>
      </c>
    </row>
    <row r="8">
      <c r="A8" s="63" t="s">
        <v>238</v>
      </c>
    </row>
    <row r="9">
      <c r="A9" s="64" t="s">
        <v>283</v>
      </c>
      <c r="H9" s="65"/>
      <c r="I9" s="65"/>
    </row>
    <row r="10">
      <c r="B10" s="66" t="s">
        <v>208</v>
      </c>
      <c r="C10" s="66" t="s">
        <v>240</v>
      </c>
    </row>
    <row r="11">
      <c r="B11" s="17">
        <v>200.0</v>
      </c>
      <c r="C11" s="34">
        <f>G6/I6*B11</f>
        <v>1.201666667</v>
      </c>
    </row>
    <row r="12">
      <c r="B12" s="17">
        <v>1.0</v>
      </c>
      <c r="C12" s="34">
        <f>G6/I6*B12</f>
        <v>0.006008333333</v>
      </c>
    </row>
    <row r="14">
      <c r="B14" s="67" t="s">
        <v>241</v>
      </c>
      <c r="C14" s="68"/>
      <c r="D14" s="68"/>
      <c r="E14" s="68"/>
      <c r="F14" s="68"/>
      <c r="G14" s="68"/>
      <c r="H14" s="68"/>
      <c r="I14" s="68"/>
      <c r="J14" s="68"/>
      <c r="K14" s="68"/>
      <c r="L14" s="68"/>
      <c r="M14" s="69"/>
    </row>
    <row r="15">
      <c r="C15" s="15" t="s">
        <v>223</v>
      </c>
      <c r="D15" s="15" t="s">
        <v>242</v>
      </c>
      <c r="E15" s="15" t="s">
        <v>243</v>
      </c>
      <c r="G15" s="41"/>
    </row>
    <row r="16">
      <c r="B16" s="70" t="s">
        <v>277</v>
      </c>
      <c r="C16" s="71">
        <f>D16/D19</f>
        <v>0.1456612739</v>
      </c>
      <c r="D16" s="39">
        <f>C11</f>
        <v>1.201666667</v>
      </c>
      <c r="F16" s="72" t="s">
        <v>244</v>
      </c>
      <c r="G16" s="6">
        <v>10.0</v>
      </c>
      <c r="H16" s="6">
        <v>15.0</v>
      </c>
      <c r="I16" s="6">
        <v>20.0</v>
      </c>
    </row>
    <row r="17">
      <c r="B17" s="70" t="s">
        <v>249</v>
      </c>
      <c r="C17" s="88">
        <v>0.04</v>
      </c>
      <c r="D17" s="40">
        <f>D16*C17</f>
        <v>0.04806666667</v>
      </c>
      <c r="F17" s="72" t="s">
        <v>245</v>
      </c>
      <c r="G17" s="73">
        <f>D19*100/G16</f>
        <v>82.49733333</v>
      </c>
      <c r="H17" s="73">
        <f>D19*100/H16</f>
        <v>54.99822222</v>
      </c>
      <c r="I17" s="73">
        <f>D19*100/I16</f>
        <v>41.24866667</v>
      </c>
    </row>
    <row r="18">
      <c r="B18" s="70" t="s">
        <v>113</v>
      </c>
      <c r="C18" s="71">
        <f>D18/D19</f>
        <v>0.8485122751</v>
      </c>
      <c r="D18" s="15">
        <v>7.0</v>
      </c>
      <c r="G18" s="41"/>
    </row>
    <row r="19">
      <c r="B19" s="15" t="s">
        <v>278</v>
      </c>
      <c r="D19" s="39">
        <f>SUM(D16:D18)</f>
        <v>8.249733333</v>
      </c>
      <c r="G19" s="41"/>
    </row>
    <row r="20">
      <c r="G20" s="41"/>
    </row>
    <row r="21">
      <c r="B21" s="44" t="s">
        <v>256</v>
      </c>
      <c r="C21" s="46">
        <v>150.0</v>
      </c>
      <c r="G21" s="41"/>
    </row>
    <row r="22">
      <c r="B22" s="6" t="s">
        <v>257</v>
      </c>
      <c r="C22" s="59">
        <f>D19/C21</f>
        <v>0.05499822222</v>
      </c>
    </row>
    <row r="23">
      <c r="B23" s="6" t="s">
        <v>258</v>
      </c>
      <c r="C23" s="59">
        <f>D16/C21</f>
        <v>0.008011111111</v>
      </c>
    </row>
  </sheetData>
  <mergeCells count="6">
    <mergeCell ref="A1:A2"/>
    <mergeCell ref="B1:I2"/>
    <mergeCell ref="I4:I5"/>
    <mergeCell ref="A8:I8"/>
    <mergeCell ref="A9:G9"/>
    <mergeCell ref="B14:M14"/>
  </mergeCells>
  <conditionalFormatting sqref="G16:I16">
    <cfRule type="colorScale" priority="1">
      <colorScale>
        <cfvo type="min"/>
        <cfvo type="percentile" val="50"/>
        <cfvo type="max"/>
        <color rgb="FF57BB8A"/>
        <color rgb="FFFFD666"/>
        <color rgb="FFE67C73"/>
      </colorScale>
    </cfRule>
  </conditionalFormatting>
  <conditionalFormatting sqref="H4:H5">
    <cfRule type="colorScale" priority="2">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284</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285</v>
      </c>
      <c r="B4" s="58">
        <v>150.0</v>
      </c>
      <c r="C4" s="58">
        <v>150.0</v>
      </c>
      <c r="D4" s="6" t="s">
        <v>237</v>
      </c>
      <c r="E4" s="6">
        <f t="shared" ref="E4:E6" si="1">B4-C4</f>
        <v>0</v>
      </c>
      <c r="F4" s="5">
        <f t="shared" ref="F4:F6" si="2">E4/B4*100</f>
        <v>0</v>
      </c>
      <c r="G4" s="34">
        <f>B4*'пф Манная халва'!D23</f>
        <v>27.42581854</v>
      </c>
      <c r="H4" s="59">
        <f>G4/G6</f>
        <v>0.7940125165</v>
      </c>
      <c r="I4" s="4"/>
    </row>
    <row r="5">
      <c r="A5" s="92" t="s">
        <v>286</v>
      </c>
      <c r="B5" s="58">
        <v>30.0</v>
      </c>
      <c r="C5" s="58">
        <v>30.0</v>
      </c>
      <c r="D5" s="6" t="s">
        <v>237</v>
      </c>
      <c r="E5" s="6">
        <f t="shared" si="1"/>
        <v>0</v>
      </c>
      <c r="F5" s="5">
        <f t="shared" si="2"/>
        <v>0</v>
      </c>
      <c r="G5" s="34">
        <f>B5*'пф Топинг шоколадный'!D23</f>
        <v>7.114970139</v>
      </c>
      <c r="H5" s="59">
        <f>G5/$G$6</f>
        <v>0.2059874835</v>
      </c>
      <c r="I5" s="4"/>
    </row>
    <row r="6">
      <c r="A6" s="44" t="s">
        <v>227</v>
      </c>
      <c r="B6" s="4">
        <f t="shared" ref="B6:C6" si="3">SUM(B4:B5)</f>
        <v>180</v>
      </c>
      <c r="C6" s="4">
        <f t="shared" si="3"/>
        <v>180</v>
      </c>
      <c r="D6" s="6" t="s">
        <v>237</v>
      </c>
      <c r="E6" s="6">
        <f t="shared" si="1"/>
        <v>0</v>
      </c>
      <c r="F6" s="5">
        <f t="shared" si="2"/>
        <v>0</v>
      </c>
      <c r="G6" s="60">
        <f>SUM(G4:G5)</f>
        <v>34.54078868</v>
      </c>
      <c r="H6" s="61">
        <f>SUM(H3:H5)</f>
        <v>1</v>
      </c>
      <c r="I6" s="62">
        <f>C6</f>
        <v>180</v>
      </c>
    </row>
    <row r="8">
      <c r="A8" s="63" t="s">
        <v>238</v>
      </c>
    </row>
    <row r="9">
      <c r="A9" s="64" t="s">
        <v>287</v>
      </c>
      <c r="H9" s="65"/>
      <c r="I9" s="65"/>
    </row>
    <row r="10">
      <c r="B10" s="66" t="s">
        <v>208</v>
      </c>
      <c r="C10" s="66" t="s">
        <v>240</v>
      </c>
    </row>
    <row r="11">
      <c r="B11" s="17">
        <v>180.0</v>
      </c>
      <c r="C11" s="34">
        <f>G6/I6*B11</f>
        <v>34.54078868</v>
      </c>
    </row>
    <row r="12">
      <c r="B12" s="17">
        <v>1.0</v>
      </c>
      <c r="C12" s="34">
        <f>G6/I6*B12</f>
        <v>0.1918932704</v>
      </c>
    </row>
    <row r="14">
      <c r="B14" s="67" t="s">
        <v>241</v>
      </c>
      <c r="C14" s="68"/>
      <c r="D14" s="68"/>
      <c r="E14" s="68"/>
      <c r="F14" s="68"/>
      <c r="G14" s="68"/>
      <c r="H14" s="68"/>
      <c r="I14" s="68"/>
      <c r="J14" s="68"/>
      <c r="K14" s="68"/>
      <c r="L14" s="68"/>
      <c r="M14" s="69"/>
    </row>
    <row r="15">
      <c r="B15" s="4"/>
      <c r="C15" s="6" t="s">
        <v>223</v>
      </c>
      <c r="D15" s="6" t="s">
        <v>242</v>
      </c>
      <c r="G15" s="41"/>
    </row>
    <row r="16">
      <c r="B16" s="44" t="s">
        <v>277</v>
      </c>
      <c r="C16" s="84">
        <f>D16/D19</f>
        <v>0.5944977592</v>
      </c>
      <c r="D16" s="34">
        <f>C11</f>
        <v>34.54078868</v>
      </c>
      <c r="F16" s="72" t="s">
        <v>244</v>
      </c>
      <c r="G16" s="6">
        <v>10.0</v>
      </c>
      <c r="H16" s="6">
        <v>15.0</v>
      </c>
      <c r="I16" s="6">
        <v>20.0</v>
      </c>
    </row>
    <row r="17">
      <c r="B17" s="44" t="s">
        <v>249</v>
      </c>
      <c r="C17" s="85">
        <v>0.0</v>
      </c>
      <c r="D17" s="86">
        <f>D16*C17</f>
        <v>0</v>
      </c>
      <c r="F17" s="72" t="s">
        <v>245</v>
      </c>
      <c r="G17" s="73">
        <f>D19*100/G16</f>
        <v>581.0078868</v>
      </c>
      <c r="H17" s="73">
        <f>D19*100/H16</f>
        <v>387.3385912</v>
      </c>
      <c r="I17" s="73">
        <f>D19*100/I16</f>
        <v>290.5039434</v>
      </c>
    </row>
    <row r="18">
      <c r="B18" s="44" t="s">
        <v>113</v>
      </c>
      <c r="C18" s="84">
        <f>D18/D19</f>
        <v>0.4055022408</v>
      </c>
      <c r="D18" s="93">
        <f>I29</f>
        <v>23.56</v>
      </c>
      <c r="G18" s="41"/>
    </row>
    <row r="19">
      <c r="B19" s="6" t="s">
        <v>278</v>
      </c>
      <c r="C19" s="4"/>
      <c r="D19" s="34">
        <f>SUM(D16:D18)</f>
        <v>58.10078868</v>
      </c>
      <c r="G19" s="94" t="s">
        <v>246</v>
      </c>
      <c r="H19" s="94" t="s">
        <v>247</v>
      </c>
      <c r="I19" s="94" t="s">
        <v>248</v>
      </c>
    </row>
    <row r="20">
      <c r="F20" s="6" t="s">
        <v>249</v>
      </c>
      <c r="G20" s="95">
        <v>2.0</v>
      </c>
      <c r="H20" s="96">
        <v>2.0</v>
      </c>
      <c r="I20" s="96">
        <v>2.0</v>
      </c>
    </row>
    <row r="21">
      <c r="B21" s="44" t="s">
        <v>256</v>
      </c>
      <c r="C21" s="46">
        <v>300.0</v>
      </c>
      <c r="F21" s="6" t="s">
        <v>250</v>
      </c>
      <c r="G21" s="75">
        <v>1.2</v>
      </c>
      <c r="H21" s="97">
        <v>1.2</v>
      </c>
      <c r="I21" s="97">
        <v>1.2</v>
      </c>
    </row>
    <row r="22">
      <c r="B22" s="6" t="s">
        <v>257</v>
      </c>
      <c r="C22" s="59">
        <f>I31/C21</f>
        <v>0.1936692956</v>
      </c>
      <c r="F22" s="6" t="s">
        <v>251</v>
      </c>
      <c r="G22" s="75">
        <v>0.34</v>
      </c>
      <c r="H22" s="97">
        <v>0.34</v>
      </c>
      <c r="I22" s="97">
        <v>0.34</v>
      </c>
    </row>
    <row r="23">
      <c r="B23" s="6" t="s">
        <v>258</v>
      </c>
      <c r="C23" s="59">
        <f>D16/C21</f>
        <v>0.1151359623</v>
      </c>
      <c r="F23" s="6" t="s">
        <v>252</v>
      </c>
      <c r="G23" s="95">
        <v>0.0</v>
      </c>
      <c r="H23" s="96">
        <v>2.0</v>
      </c>
      <c r="I23" s="96">
        <v>2.0</v>
      </c>
    </row>
    <row r="24">
      <c r="F24" s="6" t="s">
        <v>253</v>
      </c>
      <c r="G24" s="75">
        <v>2.5</v>
      </c>
      <c r="H24" s="97">
        <v>2.5</v>
      </c>
      <c r="I24" s="97">
        <v>2.5</v>
      </c>
    </row>
    <row r="25">
      <c r="B25" s="15" t="s">
        <v>204</v>
      </c>
      <c r="C25" s="78">
        <f>C21</f>
        <v>300</v>
      </c>
      <c r="F25" s="6" t="s">
        <v>288</v>
      </c>
      <c r="G25" s="95">
        <v>12.85</v>
      </c>
      <c r="H25" s="95">
        <v>12.85</v>
      </c>
      <c r="I25" s="95">
        <v>12.85</v>
      </c>
    </row>
    <row r="26">
      <c r="B26" s="15" t="s">
        <v>248</v>
      </c>
      <c r="C26" s="98">
        <v>430.0</v>
      </c>
      <c r="F26" s="6" t="s">
        <v>289</v>
      </c>
      <c r="G26" s="95">
        <v>2.67</v>
      </c>
      <c r="H26" s="96">
        <v>2.67</v>
      </c>
      <c r="I26" s="96">
        <v>2.67</v>
      </c>
    </row>
    <row r="27">
      <c r="G27" s="95"/>
      <c r="H27" s="99"/>
      <c r="I27" s="99"/>
    </row>
    <row r="28">
      <c r="G28" s="95"/>
      <c r="H28" s="95"/>
      <c r="I28" s="95"/>
    </row>
    <row r="29">
      <c r="G29" s="100">
        <f t="shared" ref="G29:I29" si="4">SUM(G20:G28)</f>
        <v>21.56</v>
      </c>
      <c r="H29" s="100">
        <f t="shared" si="4"/>
        <v>23.56</v>
      </c>
      <c r="I29" s="100">
        <f t="shared" si="4"/>
        <v>23.56</v>
      </c>
    </row>
    <row r="30">
      <c r="G30" s="100"/>
      <c r="H30" s="100"/>
      <c r="I30" s="100"/>
    </row>
    <row r="31">
      <c r="G31" s="100"/>
      <c r="H31" s="100"/>
      <c r="I31" s="100">
        <f>D16+I29</f>
        <v>58.10078868</v>
      </c>
    </row>
  </sheetData>
  <mergeCells count="5">
    <mergeCell ref="A1:A2"/>
    <mergeCell ref="B1:I2"/>
    <mergeCell ref="A8:I8"/>
    <mergeCell ref="A9:G9"/>
    <mergeCell ref="B14:M14"/>
  </mergeCells>
  <conditionalFormatting sqref="G16:I16">
    <cfRule type="colorScale" priority="1">
      <colorScale>
        <cfvo type="min"/>
        <cfvo type="percentile" val="50"/>
        <cfvo type="max"/>
        <color rgb="FF57BB8A"/>
        <color rgb="FFFFD666"/>
        <color rgb="FFE67C73"/>
      </colorScale>
    </cfRule>
  </conditionalFormatting>
  <conditionalFormatting sqref="H4:H5">
    <cfRule type="colorScale" priority="2">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43.14"/>
    <col customWidth="1" min="2" max="2" width="26.57"/>
  </cols>
  <sheetData>
    <row r="1">
      <c r="A1" s="48" t="s">
        <v>228</v>
      </c>
      <c r="B1" s="49" t="s">
        <v>290</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146</v>
      </c>
      <c r="B4" s="58">
        <v>10.0</v>
      </c>
      <c r="C4" s="58">
        <v>10.0</v>
      </c>
      <c r="D4" s="6" t="s">
        <v>237</v>
      </c>
      <c r="E4" s="6">
        <f t="shared" ref="E4:E8" si="1">B4-C4</f>
        <v>0</v>
      </c>
      <c r="F4" s="73">
        <f t="shared" ref="F4:F8" si="2">E4/B4*100</f>
        <v>0</v>
      </c>
      <c r="G4" s="34">
        <f>VLOOKUP(A4,'Матрица поставщиков'!A1:E60,5,False) * B4</f>
        <v>13.04</v>
      </c>
      <c r="H4" s="61">
        <f>G4/G8</f>
        <v>0.5056223342</v>
      </c>
      <c r="I4" s="80"/>
    </row>
    <row r="5">
      <c r="A5" s="11" t="s">
        <v>40</v>
      </c>
      <c r="B5" s="58">
        <v>100.0</v>
      </c>
      <c r="C5" s="58">
        <v>100.0</v>
      </c>
      <c r="D5" s="6" t="s">
        <v>265</v>
      </c>
      <c r="E5" s="6">
        <f t="shared" si="1"/>
        <v>0</v>
      </c>
      <c r="F5" s="73">
        <f t="shared" si="2"/>
        <v>0</v>
      </c>
      <c r="G5" s="34">
        <f>VLOOKUP(A5,'Матрица поставщиков'!A1:E53,5,False) * B5</f>
        <v>0</v>
      </c>
      <c r="H5" s="61">
        <f>G5/G8</f>
        <v>0</v>
      </c>
      <c r="I5" s="52"/>
    </row>
    <row r="6">
      <c r="A6" s="6" t="s">
        <v>199</v>
      </c>
      <c r="B6" s="58">
        <v>5.0</v>
      </c>
      <c r="C6" s="58">
        <v>5.0</v>
      </c>
      <c r="D6" s="6" t="s">
        <v>237</v>
      </c>
      <c r="E6" s="6">
        <f t="shared" si="1"/>
        <v>0</v>
      </c>
      <c r="F6" s="73">
        <f t="shared" si="2"/>
        <v>0</v>
      </c>
      <c r="G6" s="34">
        <f>VLOOKUP(A6,'Матрица поставщиков'!A2:E549,5,False) * B6</f>
        <v>7.5</v>
      </c>
      <c r="H6" s="61">
        <f>G6/G8</f>
        <v>0.2908103916</v>
      </c>
      <c r="I6" s="4"/>
    </row>
    <row r="7">
      <c r="A7" s="6" t="s">
        <v>201</v>
      </c>
      <c r="B7" s="58">
        <v>7.0</v>
      </c>
      <c r="C7" s="58">
        <v>7.0</v>
      </c>
      <c r="D7" s="6" t="s">
        <v>237</v>
      </c>
      <c r="E7" s="6">
        <f t="shared" si="1"/>
        <v>0</v>
      </c>
      <c r="F7" s="73">
        <f t="shared" si="2"/>
        <v>0</v>
      </c>
      <c r="G7" s="34">
        <f>VLOOKUP(A7,'Матрица поставщиков'!A3:E559,5,False) * B7</f>
        <v>5.25</v>
      </c>
      <c r="H7" s="61">
        <f>G7/G8</f>
        <v>0.2035672741</v>
      </c>
      <c r="I7" s="4"/>
    </row>
    <row r="8">
      <c r="A8" s="44" t="s">
        <v>227</v>
      </c>
      <c r="B8" s="4">
        <f>B5</f>
        <v>100</v>
      </c>
      <c r="C8" s="4">
        <f>B8</f>
        <v>100</v>
      </c>
      <c r="D8" s="82" t="s">
        <v>275</v>
      </c>
      <c r="E8" s="6">
        <f t="shared" si="1"/>
        <v>0</v>
      </c>
      <c r="F8" s="73">
        <f t="shared" si="2"/>
        <v>0</v>
      </c>
      <c r="G8" s="60">
        <f>SUM(G4:G7)</f>
        <v>25.79</v>
      </c>
      <c r="H8" s="61">
        <f>SUM(H4:H5)</f>
        <v>0.5056223342</v>
      </c>
      <c r="I8" s="62">
        <f>B8-E8</f>
        <v>100</v>
      </c>
    </row>
    <row r="10">
      <c r="A10" s="63" t="s">
        <v>238</v>
      </c>
    </row>
    <row r="11">
      <c r="A11" s="64" t="s">
        <v>291</v>
      </c>
      <c r="H11" s="65"/>
      <c r="I11" s="65"/>
    </row>
    <row r="12">
      <c r="B12" s="66" t="s">
        <v>208</v>
      </c>
      <c r="C12" s="66" t="s">
        <v>240</v>
      </c>
    </row>
    <row r="13">
      <c r="B13" s="17">
        <v>100.0</v>
      </c>
      <c r="C13" s="34">
        <f>G8/I8*B13</f>
        <v>25.79</v>
      </c>
    </row>
    <row r="14">
      <c r="B14" s="17">
        <v>1.0</v>
      </c>
      <c r="C14" s="34">
        <f>G8/I8*B14</f>
        <v>0.2579</v>
      </c>
    </row>
    <row r="16">
      <c r="B16" s="67" t="s">
        <v>241</v>
      </c>
      <c r="C16" s="68"/>
      <c r="D16" s="68"/>
      <c r="E16" s="68"/>
      <c r="F16" s="68"/>
      <c r="G16" s="68"/>
      <c r="H16" s="68"/>
      <c r="I16" s="68"/>
      <c r="J16" s="68"/>
      <c r="K16" s="68"/>
      <c r="L16" s="68"/>
      <c r="M16" s="69"/>
    </row>
    <row r="17">
      <c r="C17" s="15" t="s">
        <v>223</v>
      </c>
      <c r="D17" s="15" t="s">
        <v>242</v>
      </c>
      <c r="E17" s="15" t="s">
        <v>243</v>
      </c>
      <c r="G17" s="41"/>
    </row>
    <row r="18">
      <c r="B18" s="70" t="s">
        <v>277</v>
      </c>
      <c r="C18" s="71">
        <f>D18/D21</f>
        <v>0.8948149999</v>
      </c>
      <c r="D18" s="39">
        <f>C13</f>
        <v>25.79</v>
      </c>
      <c r="F18" s="72" t="s">
        <v>244</v>
      </c>
      <c r="G18" s="6">
        <v>5.0</v>
      </c>
      <c r="H18" s="6">
        <v>7.0</v>
      </c>
      <c r="I18" s="6">
        <v>9.0</v>
      </c>
    </row>
    <row r="19">
      <c r="B19" s="70" t="s">
        <v>249</v>
      </c>
      <c r="C19" s="88">
        <v>0.04</v>
      </c>
      <c r="D19" s="40">
        <f>D18*C19</f>
        <v>1.0316</v>
      </c>
      <c r="F19" s="72" t="s">
        <v>245</v>
      </c>
      <c r="G19" s="73">
        <f>D21*100/G18</f>
        <v>576.432</v>
      </c>
      <c r="H19" s="73">
        <f>D21*100/H18</f>
        <v>411.7371429</v>
      </c>
      <c r="I19" s="73">
        <f>D21*100/I18</f>
        <v>320.24</v>
      </c>
    </row>
    <row r="20">
      <c r="B20" s="70" t="s">
        <v>113</v>
      </c>
      <c r="C20" s="71">
        <f>D20/D21</f>
        <v>0.06939240014</v>
      </c>
      <c r="D20" s="15">
        <v>2.0</v>
      </c>
      <c r="G20" s="41"/>
    </row>
    <row r="21">
      <c r="B21" s="15" t="s">
        <v>278</v>
      </c>
      <c r="D21" s="39">
        <f>SUM(D18:D20)</f>
        <v>28.8216</v>
      </c>
      <c r="G21" s="41"/>
    </row>
    <row r="22">
      <c r="G22" s="41"/>
    </row>
    <row r="23">
      <c r="B23" s="44" t="s">
        <v>256</v>
      </c>
      <c r="C23" s="46">
        <v>250.0</v>
      </c>
      <c r="E23" s="15" t="s">
        <v>292</v>
      </c>
      <c r="G23" s="41"/>
    </row>
    <row r="24">
      <c r="B24" s="6" t="s">
        <v>257</v>
      </c>
      <c r="C24" s="59">
        <f>D21/C23</f>
        <v>0.1152864</v>
      </c>
    </row>
    <row r="25">
      <c r="B25" s="6" t="s">
        <v>258</v>
      </c>
      <c r="C25" s="59">
        <f>D18/C23</f>
        <v>0.10316</v>
      </c>
    </row>
  </sheetData>
  <mergeCells count="6">
    <mergeCell ref="A1:A2"/>
    <mergeCell ref="B1:I2"/>
    <mergeCell ref="I4:I5"/>
    <mergeCell ref="A10:I10"/>
    <mergeCell ref="A11:G11"/>
    <mergeCell ref="B16:M16"/>
  </mergeCells>
  <conditionalFormatting sqref="G18:I18">
    <cfRule type="colorScale" priority="1">
      <colorScale>
        <cfvo type="min"/>
        <cfvo type="percentile" val="50"/>
        <cfvo type="max"/>
        <color rgb="FF57BB8A"/>
        <color rgb="FFFFD666"/>
        <color rgb="FFE67C73"/>
      </colorScale>
    </cfRule>
  </conditionalFormatting>
  <conditionalFormatting sqref="H4:H7">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21.29"/>
    <col customWidth="1" min="2" max="2" width="26.57"/>
  </cols>
  <sheetData>
    <row r="1">
      <c r="A1" s="48" t="s">
        <v>228</v>
      </c>
      <c r="B1" s="49" t="s">
        <v>195</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195</v>
      </c>
      <c r="B4" s="58">
        <v>20.0</v>
      </c>
      <c r="C4" s="58">
        <f>B4</f>
        <v>20</v>
      </c>
      <c r="D4" s="6" t="s">
        <v>237</v>
      </c>
      <c r="E4" s="6">
        <f t="shared" ref="E4:E7" si="1">B4-C4</f>
        <v>0</v>
      </c>
      <c r="F4" s="5">
        <f t="shared" ref="F4:F7" si="2">E4/B4*100</f>
        <v>0</v>
      </c>
      <c r="G4" s="34">
        <f>VLOOKUP(A4,'Матрица поставщиков'!A1:E600,5,False) * B4</f>
        <v>34.7</v>
      </c>
      <c r="H4" s="59">
        <f>G4/G7</f>
        <v>0.7409147201</v>
      </c>
      <c r="I4" s="80"/>
    </row>
    <row r="5">
      <c r="A5" s="11" t="s">
        <v>31</v>
      </c>
      <c r="B5" s="58">
        <v>200.0</v>
      </c>
      <c r="C5" s="58">
        <v>200.0</v>
      </c>
      <c r="D5" s="6" t="s">
        <v>237</v>
      </c>
      <c r="E5" s="6">
        <f t="shared" si="1"/>
        <v>0</v>
      </c>
      <c r="F5" s="5">
        <f t="shared" si="2"/>
        <v>0</v>
      </c>
      <c r="G5" s="34">
        <f>(VLOOKUP(A5,'Матрица поставщиков'!A1:E53,5,FALSE) * B5)</f>
        <v>12</v>
      </c>
      <c r="H5" s="59">
        <f>G5/G7</f>
        <v>0.2562241107</v>
      </c>
      <c r="I5" s="52"/>
    </row>
    <row r="6">
      <c r="A6" s="11" t="s">
        <v>7</v>
      </c>
      <c r="B6" s="58">
        <v>1.0</v>
      </c>
      <c r="C6" s="58">
        <v>1.0</v>
      </c>
      <c r="D6" s="6" t="s">
        <v>237</v>
      </c>
      <c r="E6" s="6">
        <f t="shared" si="1"/>
        <v>0</v>
      </c>
      <c r="F6" s="5">
        <f t="shared" si="2"/>
        <v>0</v>
      </c>
      <c r="G6" s="34">
        <f>(VLOOKUP(A6,'Матрица поставщиков'!A2:E540,5,False) * B6)/10</f>
        <v>0.134</v>
      </c>
      <c r="H6" s="59">
        <f>G6/G7</f>
        <v>0.002861169236</v>
      </c>
      <c r="I6" s="4"/>
    </row>
    <row r="7">
      <c r="A7" s="44" t="s">
        <v>227</v>
      </c>
      <c r="B7" s="4">
        <f>B5</f>
        <v>200</v>
      </c>
      <c r="C7" s="4">
        <f>B7</f>
        <v>200</v>
      </c>
      <c r="D7" s="82" t="s">
        <v>275</v>
      </c>
      <c r="E7" s="6">
        <f t="shared" si="1"/>
        <v>0</v>
      </c>
      <c r="F7" s="5">
        <f t="shared" si="2"/>
        <v>0</v>
      </c>
      <c r="G7" s="60">
        <f t="shared" ref="G7:H7" si="3">SUM(G4:G6)</f>
        <v>46.834</v>
      </c>
      <c r="H7" s="61">
        <f t="shared" si="3"/>
        <v>1</v>
      </c>
      <c r="I7" s="62">
        <f>B7-E7</f>
        <v>200</v>
      </c>
    </row>
    <row r="9">
      <c r="A9" s="63" t="s">
        <v>238</v>
      </c>
    </row>
    <row r="10">
      <c r="A10" s="64" t="s">
        <v>293</v>
      </c>
      <c r="H10" s="65"/>
      <c r="I10" s="65"/>
    </row>
    <row r="11">
      <c r="A11" s="66" t="s">
        <v>208</v>
      </c>
      <c r="B11" s="66" t="s">
        <v>240</v>
      </c>
    </row>
    <row r="12">
      <c r="A12" s="17">
        <v>200.0</v>
      </c>
      <c r="B12" s="34">
        <f>G7/I7*A12</f>
        <v>46.834</v>
      </c>
    </row>
    <row r="13">
      <c r="A13" s="17">
        <v>1.0</v>
      </c>
      <c r="B13" s="34">
        <f>G7/I7*A13</f>
        <v>0.23417</v>
      </c>
    </row>
    <row r="15">
      <c r="A15" s="4"/>
      <c r="B15" s="6" t="s">
        <v>223</v>
      </c>
      <c r="C15" s="6" t="s">
        <v>242</v>
      </c>
      <c r="F15" s="41"/>
    </row>
    <row r="16">
      <c r="A16" s="44" t="s">
        <v>277</v>
      </c>
      <c r="B16" s="84">
        <f>C16/C19</f>
        <v>0.8560822529</v>
      </c>
      <c r="C16" s="34">
        <f>B12</f>
        <v>46.834</v>
      </c>
      <c r="E16" s="72" t="s">
        <v>244</v>
      </c>
      <c r="F16" s="6">
        <v>5.0</v>
      </c>
      <c r="G16" s="6">
        <v>7.0</v>
      </c>
      <c r="H16" s="6">
        <v>9.0</v>
      </c>
    </row>
    <row r="17">
      <c r="A17" s="44" t="s">
        <v>249</v>
      </c>
      <c r="B17" s="85">
        <v>0.04</v>
      </c>
      <c r="C17" s="86">
        <f>C16*B17</f>
        <v>1.87336</v>
      </c>
      <c r="E17" s="72" t="s">
        <v>245</v>
      </c>
      <c r="F17" s="73">
        <f>C19*100/F16</f>
        <v>1094.1472</v>
      </c>
      <c r="G17" s="73">
        <f>C19*100/G16</f>
        <v>781.5337143</v>
      </c>
      <c r="H17" s="73">
        <f>C19*100/H16</f>
        <v>607.8595556</v>
      </c>
    </row>
    <row r="18">
      <c r="A18" s="44" t="s">
        <v>113</v>
      </c>
      <c r="B18" s="84">
        <f>C18/C19</f>
        <v>0.109674457</v>
      </c>
      <c r="C18" s="6">
        <v>6.0</v>
      </c>
      <c r="F18" s="41"/>
    </row>
    <row r="19">
      <c r="A19" s="6" t="s">
        <v>278</v>
      </c>
      <c r="B19" s="4"/>
      <c r="C19" s="34">
        <f>SUM(C16:C18)</f>
        <v>54.70736</v>
      </c>
      <c r="F19" s="41"/>
    </row>
    <row r="20">
      <c r="F20" s="41"/>
    </row>
    <row r="21">
      <c r="A21" s="44" t="s">
        <v>256</v>
      </c>
      <c r="B21" s="46">
        <v>250.0</v>
      </c>
      <c r="F21" s="41"/>
    </row>
    <row r="22">
      <c r="A22" s="6" t="s">
        <v>257</v>
      </c>
      <c r="B22" s="59">
        <f>C19/B21</f>
        <v>0.21882944</v>
      </c>
    </row>
    <row r="23">
      <c r="A23" s="6" t="s">
        <v>258</v>
      </c>
      <c r="B23" s="59">
        <f>C16/B21</f>
        <v>0.187336</v>
      </c>
    </row>
  </sheetData>
  <mergeCells count="5">
    <mergeCell ref="A1:A2"/>
    <mergeCell ref="B1:I2"/>
    <mergeCell ref="I4:I5"/>
    <mergeCell ref="A9:I9"/>
    <mergeCell ref="A10:G10"/>
  </mergeCells>
  <conditionalFormatting sqref="F16:I16">
    <cfRule type="colorScale" priority="1">
      <colorScale>
        <cfvo type="min"/>
        <cfvo type="percentile" val="50"/>
        <cfvo type="max"/>
        <color rgb="FF57BB8A"/>
        <color rgb="FFFFD666"/>
        <color rgb="FFE67C73"/>
      </colorScale>
    </cfRule>
  </conditionalFormatting>
  <conditionalFormatting sqref="H4:H6">
    <cfRule type="colorScale" priority="2">
      <colorScale>
        <cfvo type="min"/>
        <cfvo type="max"/>
        <color rgb="FFFFFFFF"/>
        <color rgb="FFE67C73"/>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8.71"/>
    <col customWidth="1" min="9" max="9" width="16.57"/>
    <col customWidth="1" min="10" max="10" width="15.29"/>
    <col customWidth="1" min="11" max="11" width="10.0"/>
    <col customWidth="1" min="12" max="12" width="11.86"/>
    <col customWidth="1" min="13" max="16" width="5.43"/>
    <col customWidth="1" min="17" max="29" width="8.71"/>
  </cols>
  <sheetData>
    <row r="1">
      <c r="A1" s="101" t="s">
        <v>294</v>
      </c>
      <c r="B1" s="49" t="s">
        <v>295</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297</v>
      </c>
      <c r="B4" s="6">
        <v>300.0</v>
      </c>
      <c r="C4" s="6">
        <f>B4</f>
        <v>300</v>
      </c>
      <c r="D4" s="4" t="s">
        <v>6</v>
      </c>
      <c r="E4" s="6">
        <f t="shared" ref="E4:E6" si="1">B4-C4</f>
        <v>0</v>
      </c>
      <c r="F4" s="5">
        <f t="shared" ref="F4:F5" si="2">E4/B4*100</f>
        <v>0</v>
      </c>
      <c r="G4" s="5">
        <f>'пф Чечевичный суп'!D21*B4</f>
        <v>17.38579773</v>
      </c>
      <c r="H4" s="59">
        <f t="shared" ref="H4:H5" si="3">G4/$G$6</f>
        <v>0.9220276687</v>
      </c>
      <c r="I4" s="103"/>
    </row>
    <row r="5">
      <c r="A5" s="6" t="s">
        <v>298</v>
      </c>
      <c r="B5" s="6">
        <v>5.0</v>
      </c>
      <c r="C5" s="6">
        <v>5.0</v>
      </c>
      <c r="D5" s="4" t="s">
        <v>6</v>
      </c>
      <c r="E5" s="6">
        <f t="shared" si="1"/>
        <v>0</v>
      </c>
      <c r="F5" s="5">
        <f t="shared" si="2"/>
        <v>0</v>
      </c>
      <c r="G5" s="5">
        <f>'пф Лимонная заправка'!D11*B5</f>
        <v>1.47025</v>
      </c>
      <c r="H5" s="59">
        <f t="shared" si="3"/>
        <v>0.07797233128</v>
      </c>
      <c r="I5" s="52"/>
    </row>
    <row r="6">
      <c r="A6" s="44" t="s">
        <v>227</v>
      </c>
      <c r="B6" s="4">
        <f t="shared" ref="B6:C6" si="4">SUM(B4:B5)</f>
        <v>305</v>
      </c>
      <c r="C6" s="6">
        <f t="shared" si="4"/>
        <v>305</v>
      </c>
      <c r="D6" s="82" t="s">
        <v>275</v>
      </c>
      <c r="E6" s="6">
        <f t="shared" si="1"/>
        <v>0</v>
      </c>
      <c r="F6" s="82" t="s">
        <v>275</v>
      </c>
      <c r="G6" s="60">
        <f t="shared" ref="G6:H6" si="5">SUM(G4:G5)</f>
        <v>18.85604773</v>
      </c>
      <c r="H6" s="61">
        <f t="shared" si="5"/>
        <v>1</v>
      </c>
      <c r="I6" s="104">
        <f>C6</f>
        <v>305</v>
      </c>
    </row>
    <row r="7">
      <c r="F7" s="41"/>
    </row>
    <row r="8">
      <c r="A8" s="63" t="s">
        <v>238</v>
      </c>
    </row>
    <row r="9">
      <c r="A9" s="65" t="s">
        <v>299</v>
      </c>
      <c r="J9" s="65"/>
      <c r="K9" s="65"/>
      <c r="L9" s="65"/>
      <c r="M9" s="65"/>
      <c r="N9" s="65"/>
      <c r="O9" s="65"/>
      <c r="P9" s="65"/>
      <c r="Q9" s="65"/>
      <c r="R9" s="65"/>
      <c r="S9" s="65"/>
    </row>
    <row r="10">
      <c r="A10" s="70"/>
      <c r="F10" s="41"/>
    </row>
    <row r="11">
      <c r="A11" s="67" t="s">
        <v>241</v>
      </c>
      <c r="B11" s="68"/>
      <c r="C11" s="68"/>
      <c r="D11" s="68"/>
      <c r="E11" s="68"/>
      <c r="F11" s="68"/>
      <c r="G11" s="68"/>
      <c r="H11" s="68"/>
      <c r="I11" s="68"/>
      <c r="J11" s="68"/>
      <c r="K11" s="68"/>
      <c r="L11" s="69"/>
    </row>
    <row r="12">
      <c r="A12" s="44" t="s">
        <v>300</v>
      </c>
      <c r="B12" s="44" t="s">
        <v>301</v>
      </c>
      <c r="C12" s="44" t="s">
        <v>242</v>
      </c>
      <c r="F12" s="41"/>
    </row>
    <row r="13">
      <c r="A13" s="6" t="s">
        <v>277</v>
      </c>
      <c r="B13" s="84">
        <f>C13/C20</f>
        <v>0.5021243263</v>
      </c>
      <c r="C13" s="5">
        <f>F22</f>
        <v>18.54693219</v>
      </c>
      <c r="E13" s="72" t="s">
        <v>244</v>
      </c>
      <c r="F13" s="6">
        <v>25.0</v>
      </c>
      <c r="G13" s="6">
        <v>26.0</v>
      </c>
      <c r="H13" s="6">
        <v>27.0</v>
      </c>
      <c r="I13" s="6">
        <v>27.75</v>
      </c>
      <c r="J13" s="6">
        <v>29.0</v>
      </c>
      <c r="K13" s="6">
        <v>30.0</v>
      </c>
      <c r="L13" s="6">
        <v>31.0</v>
      </c>
    </row>
    <row r="14">
      <c r="A14" s="6" t="s">
        <v>249</v>
      </c>
      <c r="B14" s="84">
        <f>C14/C20</f>
        <v>0.05414634842</v>
      </c>
      <c r="C14" s="93">
        <v>2.0</v>
      </c>
      <c r="E14" s="72" t="s">
        <v>245</v>
      </c>
      <c r="F14" s="73">
        <f>C20*100/F13</f>
        <v>147.7477288</v>
      </c>
      <c r="G14" s="73">
        <f>C20*100/G13</f>
        <v>142.0651238</v>
      </c>
      <c r="H14" s="73">
        <f>C20*100/H13</f>
        <v>136.8034526</v>
      </c>
      <c r="I14" s="73">
        <f>C20*100/I13</f>
        <v>133.1060619</v>
      </c>
      <c r="J14" s="73">
        <f>C20*100/J13</f>
        <v>127.3687317</v>
      </c>
      <c r="K14" s="73">
        <f>C20*100/K13</f>
        <v>123.1231073</v>
      </c>
      <c r="L14" s="73">
        <f>C20*100/L13</f>
        <v>119.1513942</v>
      </c>
    </row>
    <row r="15">
      <c r="A15" s="6" t="s">
        <v>250</v>
      </c>
      <c r="B15" s="6" t="s">
        <v>302</v>
      </c>
      <c r="C15" s="93">
        <v>1.2</v>
      </c>
      <c r="F15" s="41"/>
      <c r="G15" s="41"/>
      <c r="H15" s="41"/>
      <c r="I15" s="41"/>
      <c r="J15" s="41"/>
      <c r="K15" s="41"/>
      <c r="L15" s="41"/>
    </row>
    <row r="16">
      <c r="A16" s="6" t="s">
        <v>251</v>
      </c>
      <c r="B16" s="84">
        <f>C16/C20</f>
        <v>0.009204879232</v>
      </c>
      <c r="C16" s="93">
        <v>0.34</v>
      </c>
      <c r="F16" s="41"/>
      <c r="G16" s="41"/>
      <c r="H16" s="41"/>
      <c r="I16" s="41"/>
      <c r="J16" s="41"/>
      <c r="K16" s="41"/>
      <c r="L16" s="41"/>
    </row>
    <row r="17">
      <c r="A17" s="6" t="s">
        <v>252</v>
      </c>
      <c r="B17" s="84">
        <f>C17/C20</f>
        <v>0.05414634842</v>
      </c>
      <c r="C17" s="93">
        <v>2.0</v>
      </c>
      <c r="E17" s="15" t="s">
        <v>303</v>
      </c>
      <c r="F17" s="43">
        <f>G6/I6</f>
        <v>0.0618231073</v>
      </c>
      <c r="G17" s="41"/>
      <c r="H17" s="41"/>
      <c r="J17" s="94" t="s">
        <v>246</v>
      </c>
      <c r="K17" s="94" t="s">
        <v>247</v>
      </c>
      <c r="L17" s="94" t="s">
        <v>248</v>
      </c>
    </row>
    <row r="18">
      <c r="A18" s="6" t="s">
        <v>113</v>
      </c>
      <c r="B18" s="84">
        <f>C18/C20</f>
        <v>0.3478902886</v>
      </c>
      <c r="C18" s="6">
        <v>12.85</v>
      </c>
      <c r="E18" s="15" t="s">
        <v>304</v>
      </c>
      <c r="F18" s="43">
        <f>F17*100</f>
        <v>6.18231073</v>
      </c>
      <c r="I18" s="6" t="s">
        <v>249</v>
      </c>
      <c r="J18" s="95">
        <v>2.0</v>
      </c>
      <c r="K18" s="96">
        <v>2.0</v>
      </c>
      <c r="L18" s="96">
        <v>2.0</v>
      </c>
    </row>
    <row r="19">
      <c r="A19" s="6" t="s">
        <v>289</v>
      </c>
      <c r="B19" s="84">
        <f>C19/C20</f>
        <v>0.07228537514</v>
      </c>
      <c r="C19" s="6">
        <v>2.67</v>
      </c>
      <c r="D19" s="15"/>
      <c r="E19" s="15"/>
      <c r="F19" s="43"/>
      <c r="I19" s="6" t="s">
        <v>250</v>
      </c>
      <c r="J19" s="75">
        <v>1.2</v>
      </c>
      <c r="K19" s="97">
        <v>1.2</v>
      </c>
      <c r="L19" s="97">
        <v>1.2</v>
      </c>
    </row>
    <row r="20">
      <c r="A20" s="44" t="s">
        <v>278</v>
      </c>
      <c r="B20" s="4"/>
      <c r="C20" s="105">
        <f>SUM(C13:C18)</f>
        <v>36.93693219</v>
      </c>
      <c r="E20" s="15" t="s">
        <v>305</v>
      </c>
      <c r="F20" s="43">
        <f>F17*200</f>
        <v>12.36462146</v>
      </c>
      <c r="I20" s="6" t="s">
        <v>251</v>
      </c>
      <c r="J20" s="75">
        <v>0.34</v>
      </c>
      <c r="K20" s="97">
        <v>0.34</v>
      </c>
      <c r="L20" s="97">
        <v>0.34</v>
      </c>
    </row>
    <row r="21">
      <c r="E21" s="15" t="s">
        <v>306</v>
      </c>
      <c r="F21" s="43">
        <f>F17*250</f>
        <v>15.45577683</v>
      </c>
      <c r="I21" s="6" t="s">
        <v>252</v>
      </c>
      <c r="J21" s="95">
        <v>0.0</v>
      </c>
      <c r="K21" s="96">
        <v>2.0</v>
      </c>
      <c r="L21" s="96">
        <v>2.0</v>
      </c>
    </row>
    <row r="22">
      <c r="A22" s="6" t="s">
        <v>257</v>
      </c>
      <c r="B22" s="59">
        <f>L29/B24</f>
        <v>0.1403564406</v>
      </c>
      <c r="E22" s="15" t="s">
        <v>307</v>
      </c>
      <c r="F22" s="43">
        <f>F17*300</f>
        <v>18.54693219</v>
      </c>
      <c r="I22" s="6" t="s">
        <v>253</v>
      </c>
      <c r="J22" s="75">
        <v>2.5</v>
      </c>
      <c r="K22" s="97">
        <v>2.5</v>
      </c>
      <c r="L22" s="97">
        <v>2.5</v>
      </c>
    </row>
    <row r="23" ht="15.75" customHeight="1">
      <c r="A23" s="6" t="s">
        <v>258</v>
      </c>
      <c r="B23" s="59">
        <f>C13/B24</f>
        <v>0.0618231073</v>
      </c>
      <c r="F23" s="41"/>
      <c r="I23" s="6" t="s">
        <v>288</v>
      </c>
      <c r="J23" s="95">
        <v>12.85</v>
      </c>
      <c r="K23" s="95">
        <v>12.85</v>
      </c>
      <c r="L23" s="95">
        <v>12.85</v>
      </c>
    </row>
    <row r="24" ht="15.75" customHeight="1">
      <c r="A24" s="44" t="s">
        <v>308</v>
      </c>
      <c r="B24" s="46">
        <v>300.0</v>
      </c>
      <c r="C24" s="40">
        <f>B24+L27</f>
        <v>323.56</v>
      </c>
      <c r="F24" s="41"/>
      <c r="I24" s="6" t="s">
        <v>289</v>
      </c>
      <c r="J24" s="95">
        <v>2.67</v>
      </c>
      <c r="K24" s="96">
        <v>2.67</v>
      </c>
      <c r="L24" s="96">
        <v>2.67</v>
      </c>
    </row>
    <row r="25" ht="15.75" customHeight="1">
      <c r="F25" s="41"/>
      <c r="J25" s="95"/>
      <c r="K25" s="99"/>
      <c r="L25" s="99"/>
    </row>
    <row r="26" ht="15.75" customHeight="1">
      <c r="A26" s="15" t="s">
        <v>204</v>
      </c>
      <c r="B26" s="78">
        <f>B24</f>
        <v>300</v>
      </c>
      <c r="F26" s="41"/>
      <c r="J26" s="95"/>
      <c r="K26" s="95"/>
      <c r="L26" s="95"/>
    </row>
    <row r="27" ht="15.75" customHeight="1">
      <c r="A27" s="15" t="s">
        <v>309</v>
      </c>
      <c r="B27" s="78">
        <v>430.0</v>
      </c>
      <c r="F27" s="41"/>
      <c r="J27" s="100">
        <f t="shared" ref="J27:L27" si="6">SUM(J18:J26)</f>
        <v>21.56</v>
      </c>
      <c r="K27" s="100">
        <f t="shared" si="6"/>
        <v>23.56</v>
      </c>
      <c r="L27" s="100">
        <f t="shared" si="6"/>
        <v>23.56</v>
      </c>
    </row>
    <row r="28" ht="15.75" customHeight="1">
      <c r="F28" s="41"/>
    </row>
    <row r="29" ht="15.75" customHeight="1">
      <c r="F29" s="41"/>
      <c r="I29" s="15" t="s">
        <v>310</v>
      </c>
      <c r="L29" s="43">
        <f>C13+L27</f>
        <v>42.10693219</v>
      </c>
    </row>
    <row r="30" ht="15.75" customHeight="1">
      <c r="F30" s="41"/>
    </row>
    <row r="31" ht="15.75" customHeight="1">
      <c r="F31" s="41"/>
    </row>
    <row r="32" ht="15.75" customHeight="1">
      <c r="F32" s="41"/>
    </row>
    <row r="33" ht="15.75" customHeight="1">
      <c r="F33" s="41"/>
    </row>
    <row r="34" ht="15.75" customHeight="1">
      <c r="F34" s="41"/>
    </row>
    <row r="35" ht="15.75" customHeight="1">
      <c r="F35" s="41"/>
    </row>
    <row r="36" ht="15.75" customHeight="1">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sheetData>
  <autoFilter ref="$A$3:$H$5">
    <sortState ref="A3:H5">
      <sortCondition descending="1" ref="H3:H5"/>
    </sortState>
  </autoFilter>
  <mergeCells count="6">
    <mergeCell ref="A1:A2"/>
    <mergeCell ref="B1:I2"/>
    <mergeCell ref="I4:I5"/>
    <mergeCell ref="A8:I8"/>
    <mergeCell ref="A9:I9"/>
    <mergeCell ref="A11:L11"/>
  </mergeCells>
  <conditionalFormatting sqref="H4:H5">
    <cfRule type="colorScale" priority="1">
      <colorScale>
        <cfvo type="min"/>
        <cfvo type="max"/>
        <color rgb="FFFFFFFF"/>
        <color rgb="FFE67C73"/>
      </colorScale>
    </cfRule>
  </conditionalFormatting>
  <conditionalFormatting sqref="E13:M13">
    <cfRule type="colorScale" priority="2">
      <colorScale>
        <cfvo type="min"/>
        <cfvo type="percentile" val="50"/>
        <cfvo type="max"/>
        <color rgb="FF57BB8A"/>
        <color rgb="FFFFD666"/>
        <color rgb="FFE67C73"/>
      </colorScale>
    </cfRule>
  </conditionalFormatting>
  <conditionalFormatting sqref="B22:B23">
    <cfRule type="cellIs" dxfId="0" priority="3" operator="greaterThan">
      <formula>26</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12.43"/>
    <col customWidth="1" min="3" max="3" width="6.86"/>
    <col customWidth="1" min="4" max="5" width="8.14"/>
    <col customWidth="1" min="6" max="6" width="7.43"/>
    <col customWidth="1" min="7" max="7" width="12.14"/>
    <col customWidth="1" min="8" max="8" width="8.71"/>
    <col customWidth="1" min="9" max="9" width="8.0"/>
    <col customWidth="1" min="10" max="10" width="4.29"/>
    <col customWidth="1" min="11" max="14" width="5.43"/>
    <col customWidth="1" min="15" max="27" width="8.71"/>
  </cols>
  <sheetData>
    <row r="1">
      <c r="A1" s="101" t="s">
        <v>311</v>
      </c>
      <c r="B1" s="49" t="s">
        <v>312</v>
      </c>
      <c r="C1" s="50"/>
      <c r="D1" s="50"/>
      <c r="E1" s="50"/>
      <c r="F1" s="50"/>
      <c r="G1" s="51"/>
    </row>
    <row r="2">
      <c r="A2" s="52"/>
      <c r="B2" s="53"/>
      <c r="C2" s="54"/>
      <c r="D2" s="54"/>
      <c r="E2" s="54"/>
      <c r="F2" s="54"/>
      <c r="G2" s="55"/>
    </row>
    <row r="3">
      <c r="A3" s="56" t="s">
        <v>0</v>
      </c>
      <c r="B3" s="56" t="s">
        <v>230</v>
      </c>
      <c r="C3" s="56" t="s">
        <v>231</v>
      </c>
      <c r="D3" s="56" t="s">
        <v>1</v>
      </c>
      <c r="E3" s="57" t="s">
        <v>234</v>
      </c>
      <c r="F3" s="57" t="s">
        <v>235</v>
      </c>
      <c r="G3" s="57" t="s">
        <v>236</v>
      </c>
    </row>
    <row r="4">
      <c r="A4" s="6" t="str">
        <f>'Дюрюм mini'!B1</f>
        <v>Дюрюм mini</v>
      </c>
      <c r="B4" s="6">
        <f>'Дюрюм mini'!B11</f>
        <v>295</v>
      </c>
      <c r="C4" s="6">
        <f>'Дюрюм mini'!C11</f>
        <v>220</v>
      </c>
      <c r="D4" s="4" t="s">
        <v>6</v>
      </c>
      <c r="E4" s="106">
        <f>'Дюрюм mini'!G11</f>
        <v>62.06649491</v>
      </c>
      <c r="F4" s="59">
        <f t="shared" ref="F4:F8" si="1">E4/$E$9</f>
        <v>0.5656234709</v>
      </c>
      <c r="G4" s="103"/>
    </row>
    <row r="5">
      <c r="A5" s="6" t="str">
        <f>'Чечевичный суп'!B1</f>
        <v>Чечевичный суп</v>
      </c>
      <c r="B5" s="6">
        <v>200.0</v>
      </c>
      <c r="C5" s="6">
        <v>200.0</v>
      </c>
      <c r="D5" s="6" t="s">
        <v>6</v>
      </c>
      <c r="E5" s="106">
        <f>'Чечевичный суп'!F17*C5</f>
        <v>12.36462146</v>
      </c>
      <c r="F5" s="59">
        <f t="shared" si="1"/>
        <v>0.1126810869</v>
      </c>
      <c r="G5" s="81"/>
    </row>
    <row r="6">
      <c r="A6" s="6" t="s">
        <v>313</v>
      </c>
      <c r="B6" s="107" t="s">
        <v>275</v>
      </c>
      <c r="C6" s="107" t="s">
        <v>275</v>
      </c>
      <c r="D6" s="82" t="s">
        <v>275</v>
      </c>
      <c r="E6" s="106">
        <f>SUM('Дюрюм mini'!C19:C25)-E8</f>
        <v>14.24</v>
      </c>
      <c r="F6" s="59">
        <f t="shared" si="1"/>
        <v>0.1297717591</v>
      </c>
      <c r="G6" s="81"/>
    </row>
    <row r="7">
      <c r="A7" s="6" t="s">
        <v>314</v>
      </c>
      <c r="B7" s="107" t="s">
        <v>275</v>
      </c>
      <c r="C7" s="107" t="s">
        <v>275</v>
      </c>
      <c r="D7" s="82" t="s">
        <v>275</v>
      </c>
      <c r="E7" s="106">
        <f>SUM('Чечевичный суп'!C14:C19)-E8</f>
        <v>19.06</v>
      </c>
      <c r="F7" s="59">
        <f t="shared" si="1"/>
        <v>0.1736973124</v>
      </c>
      <c r="G7" s="81"/>
    </row>
    <row r="8">
      <c r="A8" s="6" t="s">
        <v>252</v>
      </c>
      <c r="B8" s="107" t="s">
        <v>275</v>
      </c>
      <c r="C8" s="107" t="s">
        <v>275</v>
      </c>
      <c r="D8" s="82" t="s">
        <v>275</v>
      </c>
      <c r="E8" s="106">
        <f>2</f>
        <v>2</v>
      </c>
      <c r="F8" s="59">
        <f t="shared" si="1"/>
        <v>0.01822637066</v>
      </c>
      <c r="G8" s="52"/>
    </row>
    <row r="9">
      <c r="A9" s="44" t="s">
        <v>227</v>
      </c>
      <c r="B9" s="4">
        <f t="shared" ref="B9:C9" si="2">SUM(B4:B5)</f>
        <v>495</v>
      </c>
      <c r="C9" s="4">
        <f t="shared" si="2"/>
        <v>420</v>
      </c>
      <c r="D9" s="82" t="s">
        <v>275</v>
      </c>
      <c r="E9" s="60">
        <f>SUM(E4:E8)</f>
        <v>109.7311164</v>
      </c>
      <c r="F9" s="61">
        <f>SUM(F4:F5)</f>
        <v>0.6783045578</v>
      </c>
      <c r="G9" s="108">
        <f>C9</f>
        <v>420</v>
      </c>
    </row>
    <row r="11">
      <c r="D11" s="63"/>
      <c r="E11" s="63"/>
      <c r="F11" s="63"/>
      <c r="G11" s="63"/>
    </row>
    <row r="12">
      <c r="D12" s="65"/>
      <c r="E12" s="65"/>
      <c r="F12" s="65"/>
      <c r="G12" s="65"/>
      <c r="H12" s="65"/>
      <c r="I12" s="65"/>
      <c r="J12" s="65"/>
      <c r="K12" s="65"/>
      <c r="L12" s="65"/>
      <c r="M12" s="65"/>
      <c r="N12" s="65"/>
      <c r="O12" s="65"/>
      <c r="P12" s="65"/>
      <c r="Q12" s="65"/>
    </row>
    <row r="14">
      <c r="A14" s="109" t="s">
        <v>203</v>
      </c>
      <c r="B14" s="109" t="s">
        <v>315</v>
      </c>
      <c r="C14" s="109" t="s">
        <v>316</v>
      </c>
    </row>
    <row r="15">
      <c r="A15" s="6" t="s">
        <v>317</v>
      </c>
      <c r="B15" s="59">
        <f>B16+B17</f>
        <v>0.2239410538</v>
      </c>
      <c r="C15" s="4"/>
    </row>
    <row r="16">
      <c r="A16" s="6" t="s">
        <v>318</v>
      </c>
      <c r="B16" s="59">
        <f>SUM(E6:E8)/C18</f>
        <v>0.07204081633</v>
      </c>
      <c r="C16" s="4"/>
    </row>
    <row r="17">
      <c r="A17" s="6" t="s">
        <v>319</v>
      </c>
      <c r="B17" s="59">
        <f>SUM(E4:E5)/C18</f>
        <v>0.1519002375</v>
      </c>
      <c r="C17" s="4"/>
    </row>
    <row r="18">
      <c r="A18" s="6" t="s">
        <v>320</v>
      </c>
      <c r="B18" s="4"/>
      <c r="C18" s="46">
        <v>490.0</v>
      </c>
    </row>
    <row r="19">
      <c r="A19" s="6" t="s">
        <v>321</v>
      </c>
      <c r="B19" s="4"/>
      <c r="C19" s="110">
        <f>C18/0.7</f>
        <v>700</v>
      </c>
    </row>
    <row r="23" ht="15.75" customHeight="1"/>
    <row r="24" ht="15.75" customHeight="1"/>
    <row r="25" ht="15.75" customHeight="1">
      <c r="E25" s="100"/>
      <c r="F25" s="100"/>
    </row>
    <row r="26" ht="15.75" customHeight="1">
      <c r="E26" s="40"/>
      <c r="F26" s="4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G2"/>
    <mergeCell ref="G4:G8"/>
  </mergeCells>
  <conditionalFormatting sqref="F4:F8">
    <cfRule type="colorScale" priority="1">
      <colorScale>
        <cfvo type="min"/>
        <cfvo type="max"/>
        <color rgb="FFFFFFFF"/>
        <color rgb="FFE67C73"/>
      </colorScale>
    </cfRule>
  </conditionalFormatting>
  <conditionalFormatting sqref="K16">
    <cfRule type="colorScale" priority="2">
      <colorScale>
        <cfvo type="min"/>
        <cfvo type="percentile" val="50"/>
        <cfvo type="max"/>
        <color rgb="FF57BB8A"/>
        <color rgb="FFFFD666"/>
        <color rgb="FFE67C73"/>
      </colorScale>
    </cfRule>
  </conditionalFormatting>
  <conditionalFormatting sqref="B15:B17">
    <cfRule type="cellIs" dxfId="0" priority="3" operator="greaterThan">
      <formula>26</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12.43"/>
    <col customWidth="1" min="3" max="3" width="6.86"/>
    <col customWidth="1" min="4" max="5" width="8.14"/>
    <col customWidth="1" min="6" max="6" width="7.43"/>
    <col customWidth="1" min="7" max="7" width="12.14"/>
    <col customWidth="1" min="8" max="8" width="8.71"/>
    <col customWidth="1" min="9" max="9" width="8.0"/>
    <col customWidth="1" min="10" max="10" width="4.29"/>
    <col customWidth="1" min="11" max="14" width="5.43"/>
    <col customWidth="1" min="15" max="27" width="8.71"/>
  </cols>
  <sheetData>
    <row r="1">
      <c r="A1" s="101" t="s">
        <v>311</v>
      </c>
      <c r="B1" s="49" t="s">
        <v>322</v>
      </c>
      <c r="C1" s="50"/>
      <c r="D1" s="50"/>
      <c r="E1" s="50"/>
      <c r="F1" s="50"/>
      <c r="G1" s="51"/>
    </row>
    <row r="2">
      <c r="A2" s="52"/>
      <c r="B2" s="53"/>
      <c r="C2" s="54"/>
      <c r="D2" s="54"/>
      <c r="E2" s="54"/>
      <c r="F2" s="54"/>
      <c r="G2" s="55"/>
    </row>
    <row r="3">
      <c r="A3" s="56" t="s">
        <v>0</v>
      </c>
      <c r="B3" s="56" t="s">
        <v>230</v>
      </c>
      <c r="C3" s="56" t="s">
        <v>231</v>
      </c>
      <c r="D3" s="56" t="s">
        <v>1</v>
      </c>
      <c r="E3" s="57" t="s">
        <v>234</v>
      </c>
      <c r="F3" s="57" t="s">
        <v>235</v>
      </c>
      <c r="G3" s="57" t="s">
        <v>236</v>
      </c>
    </row>
    <row r="4">
      <c r="A4" s="6" t="str">
        <f>'Дюрюм mini'!B1</f>
        <v>Дюрюм mini</v>
      </c>
      <c r="B4" s="6">
        <f>'Дюрюм mini'!B11</f>
        <v>295</v>
      </c>
      <c r="C4" s="6">
        <f>'Дюрюм mini'!C11</f>
        <v>220</v>
      </c>
      <c r="D4" s="4" t="s">
        <v>6</v>
      </c>
      <c r="E4" s="106">
        <f>'Дюрюм mini'!G11</f>
        <v>62.06649491</v>
      </c>
      <c r="F4" s="59">
        <f t="shared" ref="F4:F13" si="1">E4/$E$14</f>
        <v>0.2714201825</v>
      </c>
      <c r="G4" s="103"/>
    </row>
    <row r="5">
      <c r="A5" s="6" t="str">
        <f>'Чечевичный суп'!B1</f>
        <v>Чечевичный суп</v>
      </c>
      <c r="B5" s="6">
        <v>200.0</v>
      </c>
      <c r="C5" s="6">
        <v>200.0</v>
      </c>
      <c r="D5" s="6" t="s">
        <v>6</v>
      </c>
      <c r="E5" s="106">
        <f>'Чечевичный суп'!F17*C5</f>
        <v>12.36462146</v>
      </c>
      <c r="F5" s="59">
        <f t="shared" si="1"/>
        <v>0.05407116703</v>
      </c>
      <c r="G5" s="81"/>
    </row>
    <row r="6">
      <c r="A6" s="6" t="s">
        <v>323</v>
      </c>
      <c r="B6" s="6">
        <v>330.0</v>
      </c>
      <c r="C6" s="6">
        <v>330.0</v>
      </c>
      <c r="D6" s="15" t="s">
        <v>12</v>
      </c>
      <c r="E6" s="106">
        <v>55.0</v>
      </c>
      <c r="F6" s="59">
        <f t="shared" si="1"/>
        <v>0.2405180131</v>
      </c>
      <c r="G6" s="81"/>
    </row>
    <row r="7">
      <c r="A7" s="6" t="s">
        <v>324</v>
      </c>
      <c r="B7" s="6">
        <v>100.0</v>
      </c>
      <c r="C7" s="6">
        <v>100.0</v>
      </c>
      <c r="D7" s="6" t="s">
        <v>6</v>
      </c>
      <c r="E7" s="106">
        <f>'Фри на продажу'!C14*C7</f>
        <v>33.452985</v>
      </c>
      <c r="F7" s="59">
        <f t="shared" si="1"/>
        <v>0.1462917361</v>
      </c>
      <c r="G7" s="81"/>
    </row>
    <row r="8">
      <c r="A8" s="6" t="s">
        <v>325</v>
      </c>
      <c r="B8" s="17">
        <f>'Сырный соус'!B10</f>
        <v>30</v>
      </c>
      <c r="C8" s="15">
        <v>30.0</v>
      </c>
      <c r="D8" s="6" t="s">
        <v>6</v>
      </c>
      <c r="E8" s="111">
        <f>'Сырный соус'!C10</f>
        <v>15.469</v>
      </c>
      <c r="F8" s="59">
        <f t="shared" si="1"/>
        <v>0.06764678446</v>
      </c>
      <c r="G8" s="81"/>
    </row>
    <row r="9">
      <c r="A9" s="6" t="s">
        <v>313</v>
      </c>
      <c r="B9" s="107" t="s">
        <v>275</v>
      </c>
      <c r="C9" s="107" t="s">
        <v>275</v>
      </c>
      <c r="D9" s="82" t="s">
        <v>275</v>
      </c>
      <c r="E9" s="106">
        <f>SUM('Дюрюм mini'!C19:C25)-E13</f>
        <v>14.24</v>
      </c>
      <c r="F9" s="59">
        <f t="shared" si="1"/>
        <v>0.06227230013</v>
      </c>
      <c r="G9" s="81"/>
    </row>
    <row r="10">
      <c r="A10" s="6" t="s">
        <v>314</v>
      </c>
      <c r="B10" s="107" t="s">
        <v>275</v>
      </c>
      <c r="C10" s="107" t="s">
        <v>275</v>
      </c>
      <c r="D10" s="82" t="s">
        <v>275</v>
      </c>
      <c r="E10" s="106">
        <f>SUM('Чечевичный суп'!C14:C19)-E13</f>
        <v>19.06</v>
      </c>
      <c r="F10" s="59">
        <f t="shared" si="1"/>
        <v>0.08335042419</v>
      </c>
      <c r="G10" s="81"/>
    </row>
    <row r="11">
      <c r="A11" s="6" t="s">
        <v>326</v>
      </c>
      <c r="B11" s="107" t="s">
        <v>275</v>
      </c>
      <c r="C11" s="107" t="s">
        <v>275</v>
      </c>
      <c r="D11" s="107" t="s">
        <v>275</v>
      </c>
      <c r="E11" s="106">
        <f>'Сырный соус'!J31</f>
        <v>4.76</v>
      </c>
      <c r="F11" s="59">
        <f t="shared" si="1"/>
        <v>0.02081574077</v>
      </c>
      <c r="G11" s="81"/>
    </row>
    <row r="12">
      <c r="A12" s="6" t="s">
        <v>327</v>
      </c>
      <c r="B12" s="107" t="s">
        <v>275</v>
      </c>
      <c r="C12" s="107" t="s">
        <v>275</v>
      </c>
      <c r="D12" s="107" t="s">
        <v>275</v>
      </c>
      <c r="E12" s="39">
        <f>'Фри на продажу'!J34</f>
        <v>10.26</v>
      </c>
      <c r="F12" s="59">
        <f t="shared" si="1"/>
        <v>0.04486754209</v>
      </c>
      <c r="G12" s="81"/>
    </row>
    <row r="13">
      <c r="A13" s="6" t="s">
        <v>252</v>
      </c>
      <c r="B13" s="107" t="s">
        <v>275</v>
      </c>
      <c r="C13" s="107" t="s">
        <v>275</v>
      </c>
      <c r="D13" s="82" t="s">
        <v>275</v>
      </c>
      <c r="E13" s="106">
        <f>2</f>
        <v>2</v>
      </c>
      <c r="F13" s="59">
        <f t="shared" si="1"/>
        <v>0.008746109569</v>
      </c>
      <c r="G13" s="52"/>
    </row>
    <row r="14">
      <c r="A14" s="44" t="s">
        <v>227</v>
      </c>
      <c r="B14" s="4">
        <f t="shared" ref="B14:C14" si="2">SUM(B4:B13)</f>
        <v>955</v>
      </c>
      <c r="C14" s="4">
        <f t="shared" si="2"/>
        <v>880</v>
      </c>
      <c r="D14" s="82" t="s">
        <v>275</v>
      </c>
      <c r="E14" s="60">
        <f>SUM(E4:E13)</f>
        <v>228.6731014</v>
      </c>
      <c r="F14" s="61">
        <f>SUM(F4:F5)</f>
        <v>0.3254913496</v>
      </c>
      <c r="G14" s="108">
        <f>C14</f>
        <v>880</v>
      </c>
    </row>
    <row r="16">
      <c r="D16" s="63"/>
      <c r="E16" s="63"/>
      <c r="F16" s="63"/>
      <c r="G16" s="63"/>
    </row>
    <row r="17">
      <c r="D17" s="65"/>
      <c r="E17" s="65"/>
      <c r="F17" s="65"/>
      <c r="G17" s="65"/>
      <c r="H17" s="65"/>
      <c r="I17" s="65"/>
      <c r="J17" s="65"/>
      <c r="K17" s="65"/>
      <c r="L17" s="65"/>
      <c r="M17" s="65"/>
      <c r="N17" s="65"/>
      <c r="O17" s="65"/>
      <c r="P17" s="65"/>
      <c r="Q17" s="65"/>
    </row>
    <row r="19">
      <c r="A19" s="109" t="s">
        <v>203</v>
      </c>
      <c r="B19" s="109" t="s">
        <v>315</v>
      </c>
      <c r="C19" s="109" t="s">
        <v>316</v>
      </c>
    </row>
    <row r="20">
      <c r="A20" s="6" t="s">
        <v>317</v>
      </c>
      <c r="B20" s="59">
        <f>B21+B22</f>
        <v>0.3048974685</v>
      </c>
      <c r="C20" s="4"/>
    </row>
    <row r="21">
      <c r="A21" s="6" t="s">
        <v>318</v>
      </c>
      <c r="B21" s="59">
        <f>SUM(E9:E13)/C23</f>
        <v>0.06709333333</v>
      </c>
      <c r="C21" s="4"/>
    </row>
    <row r="22">
      <c r="A22" s="6" t="s">
        <v>319</v>
      </c>
      <c r="B22" s="59">
        <f>SUM(E4:E8)/C23</f>
        <v>0.2378041352</v>
      </c>
      <c r="C22" s="4"/>
    </row>
    <row r="23">
      <c r="A23" s="6" t="s">
        <v>320</v>
      </c>
      <c r="B23" s="4"/>
      <c r="C23" s="46">
        <v>750.0</v>
      </c>
    </row>
    <row r="24">
      <c r="A24" s="6" t="s">
        <v>321</v>
      </c>
      <c r="B24" s="4"/>
      <c r="C24" s="110">
        <f>C23/0.7</f>
        <v>1071.428571</v>
      </c>
    </row>
    <row r="28" ht="15.75" customHeight="1"/>
    <row r="29" ht="15.75" customHeight="1"/>
    <row r="30" ht="15.75" customHeight="1">
      <c r="E30" s="100"/>
      <c r="F30" s="100"/>
    </row>
    <row r="31" ht="15.75" customHeight="1">
      <c r="E31" s="40"/>
      <c r="F31" s="4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
    <mergeCell ref="A1:A2"/>
    <mergeCell ref="B1:G2"/>
    <mergeCell ref="G4:G13"/>
  </mergeCells>
  <conditionalFormatting sqref="F4:F13">
    <cfRule type="colorScale" priority="1">
      <colorScale>
        <cfvo type="min"/>
        <cfvo type="max"/>
        <color rgb="FFFFFFFF"/>
        <color rgb="FFE67C73"/>
      </colorScale>
    </cfRule>
  </conditionalFormatting>
  <conditionalFormatting sqref="K21">
    <cfRule type="colorScale" priority="2">
      <colorScale>
        <cfvo type="min"/>
        <cfvo type="percentile" val="50"/>
        <cfvo type="max"/>
        <color rgb="FF57BB8A"/>
        <color rgb="FFFFD666"/>
        <color rgb="FFE67C73"/>
      </colorScale>
    </cfRule>
  </conditionalFormatting>
  <conditionalFormatting sqref="B20:B22">
    <cfRule type="cellIs" dxfId="0" priority="3" operator="greaterThan">
      <formula>26</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12.43"/>
    <col customWidth="1" min="3" max="3" width="6.86"/>
    <col customWidth="1" min="4" max="5" width="8.14"/>
    <col customWidth="1" min="6" max="6" width="7.43"/>
    <col customWidth="1" min="7" max="7" width="12.14"/>
    <col customWidth="1" min="8" max="8" width="8.71"/>
    <col customWidth="1" min="9" max="9" width="8.0"/>
    <col customWidth="1" min="10" max="10" width="4.29"/>
    <col customWidth="1" min="11" max="14" width="5.43"/>
    <col customWidth="1" min="15" max="27" width="8.71"/>
  </cols>
  <sheetData>
    <row r="1">
      <c r="A1" s="101" t="s">
        <v>311</v>
      </c>
      <c r="B1" s="49" t="s">
        <v>312</v>
      </c>
      <c r="C1" s="50"/>
      <c r="D1" s="50"/>
      <c r="E1" s="50"/>
      <c r="F1" s="50"/>
      <c r="G1" s="51"/>
    </row>
    <row r="2">
      <c r="A2" s="52"/>
      <c r="B2" s="53"/>
      <c r="C2" s="54"/>
      <c r="D2" s="54"/>
      <c r="E2" s="54"/>
      <c r="F2" s="54"/>
      <c r="G2" s="55"/>
    </row>
    <row r="3">
      <c r="A3" s="56" t="s">
        <v>0</v>
      </c>
      <c r="B3" s="56" t="s">
        <v>230</v>
      </c>
      <c r="C3" s="56" t="s">
        <v>231</v>
      </c>
      <c r="D3" s="56" t="s">
        <v>1</v>
      </c>
      <c r="E3" s="57" t="s">
        <v>234</v>
      </c>
      <c r="F3" s="57" t="s">
        <v>235</v>
      </c>
      <c r="G3" s="57" t="s">
        <v>236</v>
      </c>
    </row>
    <row r="4">
      <c r="A4" s="6" t="str">
        <f>'Дюрюм'!B1</f>
        <v>Дюрюм</v>
      </c>
      <c r="B4" s="6">
        <f>'Дюрюм'!B11</f>
        <v>435</v>
      </c>
      <c r="C4" s="6">
        <f>'Дюрюм'!C11</f>
        <v>342</v>
      </c>
      <c r="D4" s="4" t="s">
        <v>6</v>
      </c>
      <c r="E4" s="106">
        <f>'Дюрюм'!G11</f>
        <v>100.3173668</v>
      </c>
      <c r="F4" s="59">
        <f t="shared" ref="F4:F8" si="1">E4/$E$9</f>
        <v>0.6779025473</v>
      </c>
      <c r="G4" s="103"/>
    </row>
    <row r="5">
      <c r="A5" s="6" t="str">
        <f>'Чечевичный суп'!B1</f>
        <v>Чечевичный суп</v>
      </c>
      <c r="B5" s="6">
        <v>200.0</v>
      </c>
      <c r="C5" s="6">
        <v>200.0</v>
      </c>
      <c r="D5" s="6" t="s">
        <v>6</v>
      </c>
      <c r="E5" s="106">
        <f>'Чечевичный суп'!F17*C5</f>
        <v>12.36462146</v>
      </c>
      <c r="F5" s="59">
        <f t="shared" si="1"/>
        <v>0.08355490832</v>
      </c>
      <c r="G5" s="81"/>
    </row>
    <row r="6">
      <c r="A6" s="6" t="s">
        <v>313</v>
      </c>
      <c r="B6" s="107" t="s">
        <v>275</v>
      </c>
      <c r="C6" s="107" t="s">
        <v>275</v>
      </c>
      <c r="D6" s="82" t="s">
        <v>275</v>
      </c>
      <c r="E6" s="106">
        <f>SUM('Дюрюм'!C19:C25)-E8</f>
        <v>14.24</v>
      </c>
      <c r="F6" s="59">
        <f t="shared" si="1"/>
        <v>0.09622792726</v>
      </c>
      <c r="G6" s="81"/>
    </row>
    <row r="7">
      <c r="A7" s="6" t="s">
        <v>314</v>
      </c>
      <c r="B7" s="107" t="s">
        <v>275</v>
      </c>
      <c r="C7" s="107" t="s">
        <v>275</v>
      </c>
      <c r="D7" s="82" t="s">
        <v>275</v>
      </c>
      <c r="E7" s="106">
        <f>SUM('Чечевичный суп'!C14:C19)-E8</f>
        <v>19.06</v>
      </c>
      <c r="F7" s="59">
        <f t="shared" si="1"/>
        <v>0.1287994588</v>
      </c>
      <c r="G7" s="81"/>
    </row>
    <row r="8">
      <c r="A8" s="6" t="s">
        <v>252</v>
      </c>
      <c r="B8" s="107" t="s">
        <v>275</v>
      </c>
      <c r="C8" s="107" t="s">
        <v>275</v>
      </c>
      <c r="D8" s="82" t="s">
        <v>275</v>
      </c>
      <c r="E8" s="106">
        <f>2</f>
        <v>2</v>
      </c>
      <c r="F8" s="59">
        <f t="shared" si="1"/>
        <v>0.01351515832</v>
      </c>
      <c r="G8" s="52"/>
    </row>
    <row r="9">
      <c r="A9" s="44" t="s">
        <v>227</v>
      </c>
      <c r="B9" s="4">
        <f t="shared" ref="B9:C9" si="2">SUM(B4:B5)</f>
        <v>635</v>
      </c>
      <c r="C9" s="4">
        <f t="shared" si="2"/>
        <v>542</v>
      </c>
      <c r="D9" s="82" t="s">
        <v>275</v>
      </c>
      <c r="E9" s="60">
        <f>SUM(E4:E8)</f>
        <v>147.9819882</v>
      </c>
      <c r="F9" s="61">
        <f>SUM(F4:F5)</f>
        <v>0.7614574556</v>
      </c>
      <c r="G9" s="108">
        <f>C9</f>
        <v>542</v>
      </c>
    </row>
    <row r="11">
      <c r="D11" s="63"/>
      <c r="E11" s="63"/>
      <c r="F11" s="63"/>
      <c r="G11" s="63"/>
    </row>
    <row r="12">
      <c r="D12" s="65"/>
      <c r="E12" s="65"/>
      <c r="F12" s="65"/>
      <c r="G12" s="65"/>
      <c r="H12" s="65"/>
      <c r="I12" s="65"/>
      <c r="J12" s="65"/>
      <c r="K12" s="65"/>
      <c r="L12" s="65"/>
      <c r="M12" s="65"/>
      <c r="N12" s="65"/>
      <c r="O12" s="65"/>
      <c r="P12" s="65"/>
      <c r="Q12" s="65"/>
    </row>
    <row r="14">
      <c r="A14" s="109" t="s">
        <v>203</v>
      </c>
      <c r="B14" s="109" t="s">
        <v>315</v>
      </c>
      <c r="C14" s="109" t="s">
        <v>316</v>
      </c>
    </row>
    <row r="15">
      <c r="A15" s="6" t="s">
        <v>317</v>
      </c>
      <c r="B15" s="59">
        <f>B16+B17</f>
        <v>0.2508169292</v>
      </c>
      <c r="C15" s="4"/>
    </row>
    <row r="16">
      <c r="A16" s="6" t="s">
        <v>328</v>
      </c>
      <c r="B16" s="59">
        <f>SUM(E6:E8)/C18</f>
        <v>0.05983050847</v>
      </c>
      <c r="C16" s="4"/>
    </row>
    <row r="17">
      <c r="A17" s="6" t="s">
        <v>319</v>
      </c>
      <c r="B17" s="59">
        <f>SUM(E4:E5)/C18</f>
        <v>0.1909864208</v>
      </c>
      <c r="C17" s="4"/>
    </row>
    <row r="18">
      <c r="A18" s="6" t="s">
        <v>320</v>
      </c>
      <c r="B18" s="4"/>
      <c r="C18" s="46">
        <v>590.0</v>
      </c>
    </row>
    <row r="19">
      <c r="A19" s="6" t="s">
        <v>321</v>
      </c>
      <c r="B19" s="4"/>
      <c r="C19" s="110">
        <f>C18/0.7</f>
        <v>842.8571429</v>
      </c>
    </row>
    <row r="23" ht="15.75" customHeight="1"/>
    <row r="24" ht="15.75" customHeight="1"/>
    <row r="25" ht="15.75" customHeight="1">
      <c r="E25" s="100"/>
      <c r="F25" s="100"/>
    </row>
    <row r="26" ht="15.75" customHeight="1">
      <c r="E26" s="40"/>
      <c r="F26" s="4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G2"/>
    <mergeCell ref="G4:G8"/>
  </mergeCells>
  <conditionalFormatting sqref="F4:F8">
    <cfRule type="colorScale" priority="1">
      <colorScale>
        <cfvo type="min"/>
        <cfvo type="max"/>
        <color rgb="FFFFFFFF"/>
        <color rgb="FFE67C73"/>
      </colorScale>
    </cfRule>
  </conditionalFormatting>
  <conditionalFormatting sqref="K16">
    <cfRule type="colorScale" priority="2">
      <colorScale>
        <cfvo type="min"/>
        <cfvo type="percentile" val="50"/>
        <cfvo type="max"/>
        <color rgb="FF57BB8A"/>
        <color rgb="FFFFD666"/>
        <color rgb="FFE67C73"/>
      </colorScale>
    </cfRule>
  </conditionalFormatting>
  <conditionalFormatting sqref="B15:B17">
    <cfRule type="cellIs" dxfId="0" priority="3" operator="greaterThan">
      <formula>26</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12.43"/>
    <col customWidth="1" min="3" max="3" width="6.86"/>
    <col customWidth="1" min="4" max="5" width="8.14"/>
    <col customWidth="1" min="6" max="6" width="7.43"/>
    <col customWidth="1" min="7" max="7" width="12.14"/>
    <col customWidth="1" min="8" max="8" width="8.71"/>
    <col customWidth="1" min="9" max="9" width="8.0"/>
    <col customWidth="1" min="10" max="10" width="4.29"/>
    <col customWidth="1" min="11" max="14" width="5.43"/>
    <col customWidth="1" min="15" max="27" width="8.71"/>
  </cols>
  <sheetData>
    <row r="1">
      <c r="A1" s="101" t="s">
        <v>311</v>
      </c>
      <c r="B1" s="49" t="s">
        <v>322</v>
      </c>
      <c r="C1" s="50"/>
      <c r="D1" s="50"/>
      <c r="E1" s="50"/>
      <c r="F1" s="50"/>
      <c r="G1" s="51"/>
    </row>
    <row r="2">
      <c r="A2" s="52"/>
      <c r="B2" s="53"/>
      <c r="C2" s="54"/>
      <c r="D2" s="54"/>
      <c r="E2" s="54"/>
      <c r="F2" s="54"/>
      <c r="G2" s="55"/>
    </row>
    <row r="3">
      <c r="A3" s="56" t="s">
        <v>0</v>
      </c>
      <c r="B3" s="56" t="s">
        <v>230</v>
      </c>
      <c r="C3" s="56" t="s">
        <v>231</v>
      </c>
      <c r="D3" s="56" t="s">
        <v>1</v>
      </c>
      <c r="E3" s="57" t="s">
        <v>234</v>
      </c>
      <c r="F3" s="57" t="s">
        <v>235</v>
      </c>
      <c r="G3" s="57" t="s">
        <v>236</v>
      </c>
    </row>
    <row r="4">
      <c r="A4" s="6" t="str">
        <f>'Дюрюм'!B1</f>
        <v>Дюрюм</v>
      </c>
      <c r="B4" s="6">
        <f>'Дюрюм'!B11</f>
        <v>435</v>
      </c>
      <c r="C4" s="6">
        <f>'Дюрюм'!C11</f>
        <v>342</v>
      </c>
      <c r="D4" s="4" t="s">
        <v>6</v>
      </c>
      <c r="E4" s="106">
        <f>'Дюрюм'!G11</f>
        <v>100.3173668</v>
      </c>
      <c r="F4" s="59">
        <f>E4/E14</f>
        <v>0.3758274896</v>
      </c>
      <c r="G4" s="103"/>
    </row>
    <row r="5">
      <c r="A5" s="6" t="str">
        <f>'Чечевичный суп'!B1</f>
        <v>Чечевичный суп</v>
      </c>
      <c r="B5" s="6">
        <v>200.0</v>
      </c>
      <c r="C5" s="6">
        <v>200.0</v>
      </c>
      <c r="D5" s="6" t="s">
        <v>6</v>
      </c>
      <c r="E5" s="106">
        <f>'Чечевичный суп'!F17*C5</f>
        <v>12.36462146</v>
      </c>
      <c r="F5" s="59">
        <f t="shared" ref="F5:F13" si="1">E5/$E$14</f>
        <v>0.04632263378</v>
      </c>
      <c r="G5" s="81"/>
    </row>
    <row r="6">
      <c r="A6" s="6" t="s">
        <v>323</v>
      </c>
      <c r="B6" s="6">
        <v>330.0</v>
      </c>
      <c r="C6" s="6">
        <v>330.0</v>
      </c>
      <c r="D6" s="15" t="s">
        <v>12</v>
      </c>
      <c r="E6" s="106">
        <v>55.0</v>
      </c>
      <c r="F6" s="59">
        <f t="shared" si="1"/>
        <v>0.2060511813</v>
      </c>
      <c r="G6" s="81"/>
    </row>
    <row r="7">
      <c r="A7" s="6" t="s">
        <v>324</v>
      </c>
      <c r="B7" s="6">
        <v>100.0</v>
      </c>
      <c r="C7" s="6">
        <v>100.0</v>
      </c>
      <c r="D7" s="6" t="s">
        <v>6</v>
      </c>
      <c r="E7" s="106">
        <f>'Фри на продажу'!C14*C7</f>
        <v>33.452985</v>
      </c>
      <c r="F7" s="59">
        <f t="shared" si="1"/>
        <v>0.125327765</v>
      </c>
      <c r="G7" s="81"/>
    </row>
    <row r="8">
      <c r="A8" s="6" t="s">
        <v>325</v>
      </c>
      <c r="B8" s="17">
        <f>'Сырный соус'!B10</f>
        <v>30</v>
      </c>
      <c r="C8" s="15">
        <v>30.0</v>
      </c>
      <c r="D8" s="6" t="s">
        <v>6</v>
      </c>
      <c r="E8" s="111">
        <f>'Сырный соус'!C10</f>
        <v>15.469</v>
      </c>
      <c r="F8" s="59">
        <f t="shared" si="1"/>
        <v>0.05795283133</v>
      </c>
      <c r="G8" s="81"/>
    </row>
    <row r="9">
      <c r="A9" s="6" t="s">
        <v>313</v>
      </c>
      <c r="B9" s="107" t="s">
        <v>275</v>
      </c>
      <c r="C9" s="107" t="s">
        <v>275</v>
      </c>
      <c r="D9" s="82" t="s">
        <v>275</v>
      </c>
      <c r="E9" s="106">
        <f>SUM('Дюрюм mini'!C19:C25)-E13</f>
        <v>14.24</v>
      </c>
      <c r="F9" s="59">
        <f t="shared" si="1"/>
        <v>0.05334852403</v>
      </c>
      <c r="G9" s="81"/>
    </row>
    <row r="10">
      <c r="A10" s="6" t="s">
        <v>314</v>
      </c>
      <c r="B10" s="107" t="s">
        <v>275</v>
      </c>
      <c r="C10" s="107" t="s">
        <v>275</v>
      </c>
      <c r="D10" s="82" t="s">
        <v>275</v>
      </c>
      <c r="E10" s="106">
        <f>SUM('Чечевичный суп'!C14:C19)-E13</f>
        <v>19.06</v>
      </c>
      <c r="F10" s="59">
        <f t="shared" si="1"/>
        <v>0.07140610028</v>
      </c>
      <c r="G10" s="81"/>
    </row>
    <row r="11">
      <c r="A11" s="6" t="s">
        <v>326</v>
      </c>
      <c r="B11" s="107" t="s">
        <v>275</v>
      </c>
      <c r="C11" s="107" t="s">
        <v>275</v>
      </c>
      <c r="D11" s="107" t="s">
        <v>275</v>
      </c>
      <c r="E11" s="106">
        <f>'Сырный соус'!J31</f>
        <v>4.76</v>
      </c>
      <c r="F11" s="59">
        <f t="shared" si="1"/>
        <v>0.01783279314</v>
      </c>
      <c r="G11" s="81"/>
    </row>
    <row r="12">
      <c r="A12" s="6" t="s">
        <v>327</v>
      </c>
      <c r="B12" s="107" t="s">
        <v>275</v>
      </c>
      <c r="C12" s="107" t="s">
        <v>275</v>
      </c>
      <c r="D12" s="107" t="s">
        <v>275</v>
      </c>
      <c r="E12" s="39">
        <f>'Фри на продажу'!J34</f>
        <v>10.26</v>
      </c>
      <c r="F12" s="59">
        <f t="shared" si="1"/>
        <v>0.03843791127</v>
      </c>
      <c r="G12" s="81"/>
    </row>
    <row r="13">
      <c r="A13" s="6" t="s">
        <v>252</v>
      </c>
      <c r="B13" s="107" t="s">
        <v>275</v>
      </c>
      <c r="C13" s="107" t="s">
        <v>275</v>
      </c>
      <c r="D13" s="82" t="s">
        <v>275</v>
      </c>
      <c r="E13" s="106">
        <f>2</f>
        <v>2</v>
      </c>
      <c r="F13" s="59">
        <f t="shared" si="1"/>
        <v>0.007492770228</v>
      </c>
      <c r="G13" s="52"/>
    </row>
    <row r="14">
      <c r="A14" s="44" t="s">
        <v>227</v>
      </c>
      <c r="B14" s="4">
        <f t="shared" ref="B14:C14" si="2">SUM(B4:B5)</f>
        <v>635</v>
      </c>
      <c r="C14" s="4">
        <f t="shared" si="2"/>
        <v>542</v>
      </c>
      <c r="D14" s="82" t="s">
        <v>275</v>
      </c>
      <c r="E14" s="60">
        <f>SUM(E4:E13)</f>
        <v>266.9239732</v>
      </c>
      <c r="F14" s="61">
        <f>SUM(F4:F5)</f>
        <v>0.4221501234</v>
      </c>
      <c r="G14" s="108">
        <f>C14</f>
        <v>542</v>
      </c>
    </row>
    <row r="16">
      <c r="D16" s="63"/>
      <c r="E16" s="63"/>
      <c r="F16" s="63"/>
      <c r="G16" s="63"/>
    </row>
    <row r="17">
      <c r="D17" s="65"/>
      <c r="E17" s="65"/>
      <c r="F17" s="65"/>
      <c r="G17" s="65"/>
      <c r="H17" s="65"/>
      <c r="I17" s="65"/>
      <c r="J17" s="65"/>
      <c r="K17" s="65"/>
      <c r="L17" s="65"/>
      <c r="M17" s="65"/>
      <c r="N17" s="65"/>
      <c r="O17" s="65"/>
      <c r="P17" s="65"/>
      <c r="Q17" s="65"/>
    </row>
    <row r="19">
      <c r="A19" s="109" t="s">
        <v>203</v>
      </c>
      <c r="B19" s="109" t="s">
        <v>315</v>
      </c>
      <c r="C19" s="109" t="s">
        <v>316</v>
      </c>
    </row>
    <row r="20">
      <c r="A20" s="6" t="s">
        <v>317</v>
      </c>
      <c r="B20" s="59">
        <f>B21+B22</f>
        <v>0.2809726034</v>
      </c>
      <c r="C20" s="4"/>
    </row>
    <row r="21">
      <c r="A21" s="6" t="s">
        <v>328</v>
      </c>
      <c r="B21" s="59">
        <f>SUM(E9:E13)/C23</f>
        <v>0.05296842105</v>
      </c>
      <c r="C21" s="4"/>
    </row>
    <row r="22">
      <c r="A22" s="6" t="s">
        <v>319</v>
      </c>
      <c r="B22" s="59">
        <f>SUM(E4:E8)/C23</f>
        <v>0.2280041824</v>
      </c>
      <c r="C22" s="4"/>
    </row>
    <row r="23">
      <c r="A23" s="6" t="s">
        <v>320</v>
      </c>
      <c r="B23" s="4"/>
      <c r="C23" s="46">
        <v>950.0</v>
      </c>
    </row>
    <row r="24">
      <c r="A24" s="6" t="s">
        <v>321</v>
      </c>
      <c r="B24" s="4"/>
      <c r="C24" s="110">
        <f>C23/0.7</f>
        <v>1357.142857</v>
      </c>
    </row>
    <row r="28" ht="15.75" customHeight="1"/>
    <row r="29" ht="15.75" customHeight="1"/>
    <row r="30" ht="15.75" customHeight="1">
      <c r="E30" s="100"/>
      <c r="F30" s="100"/>
    </row>
    <row r="31" ht="15.75" customHeight="1">
      <c r="E31" s="40"/>
      <c r="F31" s="4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
    <mergeCell ref="A1:A2"/>
    <mergeCell ref="B1:G2"/>
    <mergeCell ref="G4:G13"/>
  </mergeCells>
  <conditionalFormatting sqref="F4:F13">
    <cfRule type="colorScale" priority="1">
      <colorScale>
        <cfvo type="min"/>
        <cfvo type="max"/>
        <color rgb="FFFFFFFF"/>
        <color rgb="FFE67C73"/>
      </colorScale>
    </cfRule>
  </conditionalFormatting>
  <conditionalFormatting sqref="K21">
    <cfRule type="colorScale" priority="2">
      <colorScale>
        <cfvo type="min"/>
        <cfvo type="percentile" val="50"/>
        <cfvo type="max"/>
        <color rgb="FF57BB8A"/>
        <color rgb="FFFFD666"/>
        <color rgb="FFE67C73"/>
      </colorScale>
    </cfRule>
  </conditionalFormatting>
  <conditionalFormatting sqref="B20:B22">
    <cfRule type="cellIs" dxfId="0" priority="3" operator="greaterThan">
      <formula>26</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42.29"/>
    <col customWidth="1" min="2" max="2" width="23.57"/>
    <col customWidth="1" min="3" max="3" width="9.71"/>
    <col customWidth="1" min="4" max="4" width="12.0"/>
    <col customWidth="1" min="5" max="5" width="17.14"/>
    <col customWidth="1" min="6" max="6" width="12.57"/>
    <col customWidth="1" min="7" max="7" width="11.0"/>
    <col customWidth="1" min="8" max="8" width="8.71"/>
    <col customWidth="1" min="9" max="9" width="12.14"/>
    <col customWidth="1" min="10" max="10" width="8.71"/>
    <col customWidth="1" min="11" max="11" width="8.0"/>
    <col customWidth="1" min="12" max="12" width="6.57"/>
    <col customWidth="1" min="13" max="16" width="5.43"/>
    <col customWidth="1" min="17" max="17" width="18.86"/>
    <col customWidth="1" min="18" max="18" width="22.0"/>
    <col customWidth="1" min="19" max="29" width="8.71"/>
  </cols>
  <sheetData>
    <row r="1">
      <c r="A1" s="101" t="s">
        <v>294</v>
      </c>
      <c r="B1" s="49" t="s">
        <v>329</v>
      </c>
      <c r="C1" s="50"/>
      <c r="D1" s="50"/>
      <c r="E1" s="50"/>
      <c r="F1" s="50"/>
      <c r="G1" s="50"/>
      <c r="H1" s="50"/>
      <c r="I1" s="51"/>
      <c r="Q1" s="24"/>
      <c r="R1" s="24"/>
    </row>
    <row r="2">
      <c r="A2" s="52"/>
      <c r="B2" s="53"/>
      <c r="C2" s="54"/>
      <c r="D2" s="54"/>
      <c r="E2" s="54"/>
      <c r="F2" s="54"/>
      <c r="G2" s="54"/>
      <c r="H2" s="54"/>
      <c r="I2" s="55"/>
      <c r="Q2" s="24"/>
      <c r="R2" s="24"/>
    </row>
    <row r="3">
      <c r="A3" s="56" t="s">
        <v>0</v>
      </c>
      <c r="B3" s="56" t="s">
        <v>230</v>
      </c>
      <c r="C3" s="56" t="s">
        <v>231</v>
      </c>
      <c r="D3" s="56" t="s">
        <v>1</v>
      </c>
      <c r="E3" s="57" t="s">
        <v>296</v>
      </c>
      <c r="F3" s="102" t="s">
        <v>233</v>
      </c>
      <c r="G3" s="57" t="s">
        <v>234</v>
      </c>
      <c r="H3" s="57" t="s">
        <v>235</v>
      </c>
      <c r="I3" s="57" t="s">
        <v>236</v>
      </c>
      <c r="Q3" s="10"/>
      <c r="R3" s="10"/>
    </row>
    <row r="4">
      <c r="A4" s="6" t="s">
        <v>330</v>
      </c>
      <c r="B4" s="6">
        <v>100.0</v>
      </c>
      <c r="C4" s="6">
        <f>B4</f>
        <v>100</v>
      </c>
      <c r="D4" s="4" t="s">
        <v>6</v>
      </c>
      <c r="E4" s="6">
        <f t="shared" ref="E4:E8" si="1">B4-C4</f>
        <v>0</v>
      </c>
      <c r="F4" s="5">
        <f t="shared" ref="F4:F7" si="2">E4/B4*100</f>
        <v>0</v>
      </c>
      <c r="G4" s="106">
        <f>'пф Фарш Primebeef Классик жарен'!D14*B4</f>
        <v>145.8692657</v>
      </c>
      <c r="H4" s="59">
        <f t="shared" ref="H4:H5" si="3">G4/$G$8</f>
        <v>0.923323011</v>
      </c>
      <c r="I4" s="103"/>
      <c r="Q4" s="10"/>
      <c r="R4" s="24"/>
    </row>
    <row r="5">
      <c r="A5" s="6" t="s">
        <v>331</v>
      </c>
      <c r="B5" s="6">
        <v>0.25</v>
      </c>
      <c r="C5" s="6">
        <v>0.25</v>
      </c>
      <c r="D5" s="6" t="s">
        <v>332</v>
      </c>
      <c r="E5" s="6">
        <f t="shared" si="1"/>
        <v>0</v>
      </c>
      <c r="F5" s="5">
        <f t="shared" si="2"/>
        <v>0</v>
      </c>
      <c r="G5" s="106">
        <f>'пф Лаваш Искенди'!G6*B5</f>
        <v>4.70986</v>
      </c>
      <c r="H5" s="59">
        <f t="shared" si="3"/>
        <v>0.0298124632</v>
      </c>
      <c r="I5" s="81"/>
      <c r="J5" s="15"/>
      <c r="Q5" s="24"/>
      <c r="R5" s="24"/>
    </row>
    <row r="6">
      <c r="A6" s="6" t="s">
        <v>333</v>
      </c>
      <c r="B6" s="6">
        <v>40.0</v>
      </c>
      <c r="C6" s="6">
        <v>40.0</v>
      </c>
      <c r="D6" s="4" t="s">
        <v>6</v>
      </c>
      <c r="E6" s="6">
        <f t="shared" si="1"/>
        <v>0</v>
      </c>
      <c r="F6" s="5">
        <f t="shared" si="2"/>
        <v>0</v>
      </c>
      <c r="G6" s="106">
        <f>'пф Соус Кебаб'!D21*B6</f>
        <v>3.349394647</v>
      </c>
      <c r="H6" s="59">
        <f>G6/G8</f>
        <v>0.0212009921</v>
      </c>
      <c r="I6" s="81"/>
      <c r="Q6" s="24"/>
      <c r="R6" s="24"/>
    </row>
    <row r="7">
      <c r="A7" s="6" t="s">
        <v>334</v>
      </c>
      <c r="B7" s="6">
        <v>30.0</v>
      </c>
      <c r="C7" s="6">
        <v>30.0</v>
      </c>
      <c r="D7" s="4" t="s">
        <v>6</v>
      </c>
      <c r="E7" s="6">
        <f t="shared" si="1"/>
        <v>0</v>
      </c>
      <c r="F7" s="5">
        <f t="shared" si="2"/>
        <v>0</v>
      </c>
      <c r="G7" s="106">
        <f>'пф Лук маринованный'!D18*B7</f>
        <v>4.0544</v>
      </c>
      <c r="H7" s="59">
        <f>G7/G8</f>
        <v>0.02566353369</v>
      </c>
      <c r="I7" s="52"/>
      <c r="Q7" s="24"/>
      <c r="R7" s="24"/>
    </row>
    <row r="8">
      <c r="A8" s="44" t="s">
        <v>227</v>
      </c>
      <c r="B8" s="4">
        <f t="shared" ref="B8:C8" si="4">SUM(B4:B7)</f>
        <v>170.25</v>
      </c>
      <c r="C8" s="4">
        <f t="shared" si="4"/>
        <v>170.25</v>
      </c>
      <c r="D8" s="82" t="s">
        <v>275</v>
      </c>
      <c r="E8" s="6">
        <f t="shared" si="1"/>
        <v>0</v>
      </c>
      <c r="F8" s="82" t="s">
        <v>275</v>
      </c>
      <c r="G8" s="60">
        <f t="shared" ref="G8:H8" si="5">SUM(G4:G7)</f>
        <v>157.9829204</v>
      </c>
      <c r="H8" s="61">
        <f t="shared" si="5"/>
        <v>1</v>
      </c>
      <c r="I8" s="104">
        <f>B8-E8</f>
        <v>170.25</v>
      </c>
      <c r="Q8" s="24"/>
      <c r="R8" s="24"/>
    </row>
    <row r="9">
      <c r="F9" s="41"/>
      <c r="Q9" s="24"/>
      <c r="R9" s="24"/>
    </row>
    <row r="10">
      <c r="A10" s="63" t="s">
        <v>238</v>
      </c>
      <c r="Q10" s="24"/>
      <c r="R10" s="24"/>
    </row>
    <row r="11">
      <c r="A11" s="65" t="s">
        <v>335</v>
      </c>
      <c r="J11" s="65"/>
      <c r="K11" s="65"/>
      <c r="L11" s="65"/>
      <c r="M11" s="65"/>
      <c r="N11" s="65"/>
      <c r="O11" s="65"/>
      <c r="P11" s="65"/>
      <c r="Q11" s="112"/>
      <c r="R11" s="112"/>
      <c r="S11" s="65"/>
    </row>
    <row r="12">
      <c r="A12" s="70"/>
      <c r="F12" s="41"/>
      <c r="Q12" s="24"/>
      <c r="R12" s="24"/>
    </row>
    <row r="13">
      <c r="A13" s="67" t="s">
        <v>241</v>
      </c>
      <c r="B13" s="68"/>
      <c r="C13" s="68"/>
      <c r="D13" s="68"/>
      <c r="E13" s="68"/>
      <c r="F13" s="68"/>
      <c r="G13" s="68"/>
      <c r="H13" s="68"/>
      <c r="I13" s="68"/>
      <c r="J13" s="68"/>
      <c r="K13" s="68"/>
      <c r="L13" s="69"/>
      <c r="Q13" s="24"/>
      <c r="R13" s="24"/>
    </row>
    <row r="14">
      <c r="A14" s="44" t="s">
        <v>300</v>
      </c>
      <c r="B14" s="44" t="s">
        <v>301</v>
      </c>
      <c r="C14" s="44" t="s">
        <v>242</v>
      </c>
      <c r="F14" s="41"/>
      <c r="Q14" s="24"/>
      <c r="R14" s="24"/>
    </row>
    <row r="15">
      <c r="A15" s="6" t="s">
        <v>277</v>
      </c>
      <c r="B15" s="84">
        <f>C15/C21</f>
        <v>0.9194519569</v>
      </c>
      <c r="C15" s="34">
        <f>G8</f>
        <v>157.9829204</v>
      </c>
      <c r="E15" s="72" t="s">
        <v>244</v>
      </c>
      <c r="F15" s="6">
        <v>25.0</v>
      </c>
      <c r="G15" s="6">
        <v>26.0</v>
      </c>
      <c r="H15" s="6">
        <v>27.0</v>
      </c>
      <c r="I15" s="6">
        <v>27.75</v>
      </c>
      <c r="J15" s="6">
        <v>29.0</v>
      </c>
      <c r="K15" s="6">
        <v>30.0</v>
      </c>
      <c r="L15" s="6">
        <v>31.0</v>
      </c>
      <c r="Q15" s="24"/>
      <c r="R15" s="24"/>
    </row>
    <row r="16">
      <c r="A16" s="6" t="s">
        <v>249</v>
      </c>
      <c r="B16" s="84">
        <f>C16/C21</f>
        <v>0.01163989062</v>
      </c>
      <c r="C16" s="93">
        <v>2.0</v>
      </c>
      <c r="E16" s="72" t="s">
        <v>245</v>
      </c>
      <c r="F16" s="73">
        <f>C21*100/F15</f>
        <v>687.2916815</v>
      </c>
      <c r="G16" s="73">
        <f>C21*100/G15</f>
        <v>660.8573861</v>
      </c>
      <c r="H16" s="73">
        <f>C21*100/H15</f>
        <v>636.3811866</v>
      </c>
      <c r="I16" s="73">
        <f>C21*100/I15</f>
        <v>619.1816951</v>
      </c>
      <c r="J16" s="73">
        <f>C21*100/J15</f>
        <v>592.4928289</v>
      </c>
      <c r="K16" s="73">
        <f>C21*100/K15</f>
        <v>572.7430679</v>
      </c>
      <c r="L16" s="73">
        <f>C21*100/L15</f>
        <v>554.2674851</v>
      </c>
      <c r="Q16" s="24"/>
      <c r="R16" s="24"/>
    </row>
    <row r="17">
      <c r="A17" s="6" t="s">
        <v>250</v>
      </c>
      <c r="B17" s="84">
        <f>C17/C21</f>
        <v>0.02327978125</v>
      </c>
      <c r="C17" s="93">
        <v>4.0</v>
      </c>
      <c r="F17" s="41"/>
      <c r="G17" s="41"/>
      <c r="H17" s="41"/>
      <c r="I17" s="41"/>
      <c r="J17" s="41"/>
      <c r="K17" s="41"/>
      <c r="L17" s="41"/>
      <c r="Q17" s="24"/>
      <c r="R17" s="24"/>
    </row>
    <row r="18">
      <c r="A18" s="6" t="s">
        <v>251</v>
      </c>
      <c r="B18" s="84">
        <f>C18/C21</f>
        <v>0.001978781406</v>
      </c>
      <c r="C18" s="93">
        <v>0.34</v>
      </c>
      <c r="F18" s="41"/>
      <c r="G18" s="41"/>
      <c r="H18" s="41"/>
      <c r="I18" s="41"/>
      <c r="J18" s="41"/>
      <c r="K18" s="41"/>
      <c r="L18" s="41"/>
      <c r="Q18" s="24"/>
      <c r="R18" s="24"/>
    </row>
    <row r="19">
      <c r="A19" s="6" t="s">
        <v>252</v>
      </c>
      <c r="B19" s="84">
        <f>C19/C21</f>
        <v>0.01163989062</v>
      </c>
      <c r="C19" s="93">
        <v>2.0</v>
      </c>
      <c r="F19" s="41"/>
      <c r="G19" s="41"/>
      <c r="H19" s="41"/>
      <c r="I19" s="41"/>
      <c r="J19" s="41"/>
      <c r="K19" s="41"/>
      <c r="L19" s="41"/>
      <c r="Q19" s="24"/>
      <c r="R19" s="24"/>
    </row>
    <row r="20">
      <c r="A20" s="6" t="s">
        <v>113</v>
      </c>
      <c r="B20" s="84">
        <f>C20/C21</f>
        <v>0.03200969922</v>
      </c>
      <c r="C20" s="6">
        <v>5.5</v>
      </c>
      <c r="F20" s="41"/>
      <c r="Q20" s="24"/>
      <c r="R20" s="24"/>
    </row>
    <row r="21">
      <c r="A21" s="44" t="s">
        <v>278</v>
      </c>
      <c r="B21" s="4"/>
      <c r="C21" s="113">
        <f>SUM(C15:C20)</f>
        <v>171.8229204</v>
      </c>
      <c r="F21" s="41"/>
      <c r="Q21" s="24"/>
      <c r="R21" s="24"/>
    </row>
    <row r="22">
      <c r="F22" s="94" t="s">
        <v>246</v>
      </c>
      <c r="G22" s="94" t="s">
        <v>247</v>
      </c>
      <c r="H22" s="94" t="s">
        <v>248</v>
      </c>
      <c r="Q22" s="24"/>
      <c r="R22" s="24"/>
    </row>
    <row r="23">
      <c r="A23" s="6" t="s">
        <v>257</v>
      </c>
      <c r="B23" s="59">
        <f>H34/B25</f>
        <v>0.2639752469</v>
      </c>
      <c r="E23" s="6" t="s">
        <v>249</v>
      </c>
      <c r="F23" s="95">
        <v>2.0</v>
      </c>
      <c r="G23" s="96">
        <v>2.0</v>
      </c>
      <c r="H23" s="96">
        <v>2.0</v>
      </c>
      <c r="Q23" s="24"/>
      <c r="R23" s="24"/>
    </row>
    <row r="24" ht="15.75" customHeight="1">
      <c r="A24" s="6" t="s">
        <v>258</v>
      </c>
      <c r="B24" s="59">
        <f>G8/B25</f>
        <v>0.2289607542</v>
      </c>
      <c r="E24" s="6" t="s">
        <v>250</v>
      </c>
      <c r="F24" s="75">
        <v>1.2</v>
      </c>
      <c r="G24" s="97">
        <v>1.2</v>
      </c>
      <c r="H24" s="97">
        <v>1.2</v>
      </c>
      <c r="Q24" s="24"/>
      <c r="R24" s="24"/>
    </row>
    <row r="25" ht="15.75" customHeight="1">
      <c r="A25" s="44" t="s">
        <v>308</v>
      </c>
      <c r="B25" s="46">
        <v>690.0</v>
      </c>
      <c r="C25" s="40">
        <f>B25+H32</f>
        <v>714.16</v>
      </c>
      <c r="E25" s="6" t="s">
        <v>251</v>
      </c>
      <c r="F25" s="75">
        <v>0.34</v>
      </c>
      <c r="G25" s="97">
        <v>0.34</v>
      </c>
      <c r="H25" s="97">
        <v>0.34</v>
      </c>
      <c r="Q25" s="24"/>
      <c r="R25" s="24"/>
    </row>
    <row r="26" ht="15.75" customHeight="1">
      <c r="E26" s="6" t="s">
        <v>252</v>
      </c>
      <c r="F26" s="95">
        <v>0.0</v>
      </c>
      <c r="G26" s="96">
        <v>2.0</v>
      </c>
      <c r="H26" s="96">
        <v>2.0</v>
      </c>
      <c r="Q26" s="24"/>
      <c r="R26" s="24"/>
    </row>
    <row r="27" ht="15.75" customHeight="1">
      <c r="E27" s="6" t="s">
        <v>253</v>
      </c>
      <c r="F27" s="75">
        <v>0.0</v>
      </c>
      <c r="G27" s="97">
        <v>2.5</v>
      </c>
      <c r="H27" s="97">
        <v>2.5</v>
      </c>
      <c r="Q27" s="24"/>
      <c r="R27" s="24"/>
    </row>
    <row r="28" ht="15.75" customHeight="1">
      <c r="A28" s="10" t="s">
        <v>204</v>
      </c>
      <c r="B28" s="78">
        <v>575.0</v>
      </c>
      <c r="E28" s="6" t="s">
        <v>336</v>
      </c>
      <c r="F28" s="95">
        <v>10.0</v>
      </c>
      <c r="G28" s="96">
        <v>10.0</v>
      </c>
      <c r="H28" s="96">
        <v>10.0</v>
      </c>
      <c r="Q28" s="24"/>
      <c r="R28" s="24"/>
    </row>
    <row r="29" ht="15.75" customHeight="1">
      <c r="A29" s="10" t="s">
        <v>248</v>
      </c>
      <c r="B29" s="78">
        <v>820.0</v>
      </c>
      <c r="E29" s="6" t="s">
        <v>337</v>
      </c>
      <c r="F29" s="95">
        <v>0.0</v>
      </c>
      <c r="G29" s="96">
        <v>2.32</v>
      </c>
      <c r="H29" s="96">
        <v>2.32</v>
      </c>
      <c r="Q29" s="24"/>
      <c r="R29" s="24"/>
    </row>
    <row r="30" ht="15.75" customHeight="1">
      <c r="E30" s="15" t="s">
        <v>254</v>
      </c>
      <c r="F30" s="95">
        <v>3.8</v>
      </c>
      <c r="G30" s="99">
        <v>3.8</v>
      </c>
      <c r="H30" s="99">
        <v>3.8</v>
      </c>
      <c r="Q30" s="24"/>
      <c r="R30" s="24"/>
    </row>
    <row r="31" ht="15.75" customHeight="1">
      <c r="F31" s="95"/>
      <c r="G31" s="95"/>
      <c r="H31" s="95"/>
      <c r="Q31" s="24"/>
      <c r="R31" s="24"/>
    </row>
    <row r="32" ht="15.75" customHeight="1">
      <c r="F32" s="100">
        <f t="shared" ref="F32:H32" si="6">SUM(F23:F31)</f>
        <v>17.34</v>
      </c>
      <c r="G32" s="100">
        <f t="shared" si="6"/>
        <v>24.16</v>
      </c>
      <c r="H32" s="100">
        <f t="shared" si="6"/>
        <v>24.16</v>
      </c>
      <c r="Q32" s="24"/>
      <c r="R32" s="24"/>
    </row>
    <row r="33" ht="15.75" customHeight="1">
      <c r="F33" s="100"/>
      <c r="G33" s="100"/>
      <c r="H33" s="100"/>
      <c r="Q33" s="24"/>
      <c r="R33" s="24"/>
    </row>
    <row r="34" ht="15.75" customHeight="1">
      <c r="F34" s="100"/>
      <c r="G34" s="96" t="s">
        <v>240</v>
      </c>
      <c r="H34" s="114">
        <f>C15+H32</f>
        <v>182.1429204</v>
      </c>
      <c r="Q34" s="24"/>
      <c r="R34" s="24"/>
    </row>
    <row r="35" ht="15.75" customHeight="1">
      <c r="F35" s="41"/>
      <c r="Q35" s="24"/>
      <c r="R35" s="24"/>
    </row>
    <row r="36" ht="15.75" customHeight="1">
      <c r="F36" s="41"/>
      <c r="Q36" s="24"/>
      <c r="R36" s="24"/>
    </row>
    <row r="37" ht="15.75" customHeight="1">
      <c r="F37" s="41"/>
      <c r="Q37" s="24"/>
      <c r="R37" s="24"/>
    </row>
    <row r="38" ht="15.75" customHeight="1">
      <c r="F38" s="41"/>
      <c r="Q38" s="24"/>
      <c r="R38" s="24"/>
    </row>
    <row r="39" ht="15.75" customHeight="1">
      <c r="F39" s="41"/>
      <c r="Q39" s="24"/>
      <c r="R39" s="24"/>
    </row>
    <row r="40" ht="15.75" customHeight="1">
      <c r="F40" s="41"/>
      <c r="Q40" s="24"/>
      <c r="R40" s="24"/>
    </row>
    <row r="41" ht="15.75" customHeight="1">
      <c r="F41" s="41"/>
      <c r="Q41" s="24"/>
      <c r="R41" s="24"/>
    </row>
    <row r="42" ht="15.75" customHeight="1">
      <c r="F42" s="41"/>
      <c r="Q42" s="24"/>
      <c r="R42" s="24"/>
    </row>
    <row r="43" ht="15.75" customHeight="1">
      <c r="F43" s="41"/>
      <c r="Q43" s="24"/>
      <c r="R43" s="24"/>
    </row>
    <row r="44" ht="15.75" customHeight="1">
      <c r="F44" s="41"/>
      <c r="Q44" s="24"/>
      <c r="R44" s="24"/>
    </row>
    <row r="45" ht="15.75" customHeight="1">
      <c r="F45" s="41"/>
      <c r="Q45" s="24"/>
      <c r="R45" s="24"/>
    </row>
    <row r="46" ht="15.75" customHeight="1">
      <c r="F46" s="41"/>
      <c r="Q46" s="24"/>
      <c r="R46" s="24"/>
    </row>
    <row r="47" ht="15.75" customHeight="1">
      <c r="F47" s="41"/>
      <c r="Q47" s="24"/>
      <c r="R47" s="24"/>
    </row>
    <row r="48" ht="15.75" customHeight="1">
      <c r="F48" s="41"/>
      <c r="Q48" s="24"/>
      <c r="R48" s="24"/>
    </row>
    <row r="49" ht="15.75" customHeight="1">
      <c r="F49" s="41"/>
      <c r="Q49" s="24"/>
      <c r="R49" s="24"/>
    </row>
    <row r="50" ht="15.75" customHeight="1">
      <c r="F50" s="41"/>
      <c r="Q50" s="24"/>
      <c r="R50" s="24"/>
    </row>
    <row r="51" ht="15.75" customHeight="1">
      <c r="F51" s="41"/>
      <c r="Q51" s="24"/>
      <c r="R51" s="24"/>
    </row>
    <row r="52" ht="15.75" customHeight="1">
      <c r="F52" s="41"/>
      <c r="Q52" s="24"/>
      <c r="R52" s="24"/>
    </row>
    <row r="53" ht="15.75" customHeight="1">
      <c r="F53" s="41"/>
      <c r="Q53" s="24"/>
      <c r="R53" s="24"/>
    </row>
    <row r="54" ht="15.75" customHeight="1">
      <c r="F54" s="41"/>
      <c r="Q54" s="24"/>
      <c r="R54" s="24"/>
    </row>
    <row r="55" ht="15.75" customHeight="1">
      <c r="F55" s="41"/>
      <c r="Q55" s="24"/>
      <c r="R55" s="24"/>
    </row>
    <row r="56" ht="15.75" customHeight="1">
      <c r="F56" s="41"/>
      <c r="Q56" s="24"/>
      <c r="R56" s="24"/>
    </row>
    <row r="57" ht="15.75" customHeight="1">
      <c r="F57" s="41"/>
      <c r="Q57" s="24"/>
      <c r="R57" s="24"/>
    </row>
    <row r="58" ht="15.75" customHeight="1">
      <c r="F58" s="41"/>
      <c r="Q58" s="24"/>
      <c r="R58" s="24"/>
    </row>
    <row r="59" ht="15.75" customHeight="1">
      <c r="F59" s="41"/>
      <c r="Q59" s="24"/>
      <c r="R59" s="24"/>
    </row>
    <row r="60" ht="15.75" customHeight="1">
      <c r="F60" s="41"/>
      <c r="Q60" s="24"/>
      <c r="R60" s="24"/>
    </row>
    <row r="61" ht="15.75" customHeight="1">
      <c r="F61" s="41"/>
      <c r="Q61" s="24"/>
      <c r="R61" s="24"/>
    </row>
    <row r="62" ht="15.75" customHeight="1">
      <c r="F62" s="41"/>
      <c r="Q62" s="24"/>
      <c r="R62" s="24"/>
    </row>
    <row r="63" ht="15.75" customHeight="1">
      <c r="F63" s="41"/>
      <c r="Q63" s="24"/>
      <c r="R63" s="24"/>
    </row>
    <row r="64" ht="15.75" customHeight="1">
      <c r="F64" s="41"/>
      <c r="Q64" s="24"/>
      <c r="R64" s="24"/>
    </row>
    <row r="65" ht="15.75" customHeight="1">
      <c r="F65" s="41"/>
      <c r="Q65" s="24"/>
      <c r="R65" s="24"/>
    </row>
    <row r="66" ht="15.75" customHeight="1">
      <c r="F66" s="41"/>
      <c r="Q66" s="24"/>
      <c r="R66" s="24"/>
    </row>
    <row r="67" ht="15.75" customHeight="1">
      <c r="F67" s="41"/>
      <c r="Q67" s="24"/>
      <c r="R67" s="24"/>
    </row>
    <row r="68" ht="15.75" customHeight="1">
      <c r="F68" s="41"/>
      <c r="Q68" s="24"/>
      <c r="R68" s="24"/>
    </row>
    <row r="69" ht="15.75" customHeight="1">
      <c r="F69" s="41"/>
      <c r="Q69" s="24"/>
      <c r="R69" s="24"/>
    </row>
    <row r="70" ht="15.75" customHeight="1">
      <c r="F70" s="41"/>
      <c r="Q70" s="24"/>
      <c r="R70" s="24"/>
    </row>
    <row r="71" ht="15.75" customHeight="1">
      <c r="F71" s="41"/>
      <c r="Q71" s="24"/>
      <c r="R71" s="24"/>
    </row>
    <row r="72" ht="15.75" customHeight="1">
      <c r="F72" s="41"/>
      <c r="Q72" s="24"/>
      <c r="R72" s="24"/>
    </row>
    <row r="73" ht="15.75" customHeight="1">
      <c r="F73" s="41"/>
      <c r="Q73" s="24"/>
      <c r="R73" s="24"/>
    </row>
    <row r="74" ht="15.75" customHeight="1">
      <c r="F74" s="41"/>
      <c r="Q74" s="24"/>
      <c r="R74" s="24"/>
    </row>
    <row r="75" ht="15.75" customHeight="1">
      <c r="F75" s="41"/>
      <c r="Q75" s="24"/>
      <c r="R75" s="24"/>
    </row>
    <row r="76" ht="15.75" customHeight="1">
      <c r="F76" s="41"/>
      <c r="Q76" s="24"/>
      <c r="R76" s="24"/>
    </row>
    <row r="77" ht="15.75" customHeight="1">
      <c r="F77" s="41"/>
      <c r="Q77" s="24"/>
      <c r="R77" s="24"/>
    </row>
    <row r="78" ht="15.75" customHeight="1">
      <c r="F78" s="41"/>
      <c r="Q78" s="24"/>
      <c r="R78" s="24"/>
    </row>
    <row r="79" ht="15.75" customHeight="1">
      <c r="F79" s="41"/>
      <c r="Q79" s="24"/>
      <c r="R79" s="24"/>
    </row>
    <row r="80" ht="15.75" customHeight="1">
      <c r="F80" s="41"/>
      <c r="Q80" s="24"/>
      <c r="R80" s="24"/>
    </row>
    <row r="81" ht="15.75" customHeight="1">
      <c r="F81" s="41"/>
      <c r="Q81" s="24"/>
      <c r="R81" s="24"/>
    </row>
    <row r="82" ht="15.75" customHeight="1">
      <c r="F82" s="41"/>
      <c r="Q82" s="24"/>
      <c r="R82" s="24"/>
    </row>
    <row r="83" ht="15.75" customHeight="1">
      <c r="F83" s="41"/>
      <c r="Q83" s="24"/>
      <c r="R83" s="24"/>
    </row>
    <row r="84" ht="15.75" customHeight="1">
      <c r="F84" s="41"/>
      <c r="Q84" s="24"/>
      <c r="R84" s="24"/>
    </row>
    <row r="85" ht="15.75" customHeight="1">
      <c r="F85" s="41"/>
      <c r="Q85" s="24"/>
      <c r="R85" s="24"/>
    </row>
    <row r="86" ht="15.75" customHeight="1">
      <c r="F86" s="41"/>
      <c r="Q86" s="24"/>
      <c r="R86" s="24"/>
    </row>
    <row r="87" ht="15.75" customHeight="1">
      <c r="F87" s="41"/>
      <c r="Q87" s="24"/>
      <c r="R87" s="24"/>
    </row>
    <row r="88" ht="15.75" customHeight="1">
      <c r="F88" s="41"/>
      <c r="Q88" s="24"/>
      <c r="R88" s="24"/>
    </row>
    <row r="89" ht="15.75" customHeight="1">
      <c r="F89" s="41"/>
      <c r="Q89" s="24"/>
      <c r="R89" s="24"/>
    </row>
    <row r="90" ht="15.75" customHeight="1">
      <c r="F90" s="41"/>
      <c r="Q90" s="24"/>
      <c r="R90" s="24"/>
    </row>
    <row r="91" ht="15.75" customHeight="1">
      <c r="F91" s="41"/>
      <c r="Q91" s="24"/>
      <c r="R91" s="24"/>
    </row>
    <row r="92" ht="15.75" customHeight="1">
      <c r="F92" s="41"/>
      <c r="Q92" s="24"/>
      <c r="R92" s="24"/>
    </row>
    <row r="93" ht="15.75" customHeight="1">
      <c r="F93" s="41"/>
      <c r="Q93" s="24"/>
      <c r="R93" s="24"/>
    </row>
    <row r="94" ht="15.75" customHeight="1">
      <c r="F94" s="41"/>
      <c r="Q94" s="24"/>
      <c r="R94" s="24"/>
    </row>
    <row r="95" ht="15.75" customHeight="1">
      <c r="F95" s="41"/>
      <c r="Q95" s="24"/>
      <c r="R95" s="24"/>
    </row>
    <row r="96" ht="15.75" customHeight="1">
      <c r="F96" s="41"/>
      <c r="Q96" s="24"/>
      <c r="R96" s="24"/>
    </row>
    <row r="97" ht="15.75" customHeight="1">
      <c r="F97" s="41"/>
      <c r="Q97" s="24"/>
      <c r="R97" s="24"/>
    </row>
    <row r="98" ht="15.75" customHeight="1">
      <c r="F98" s="41"/>
      <c r="Q98" s="24"/>
      <c r="R98" s="24"/>
    </row>
    <row r="99" ht="15.75" customHeight="1">
      <c r="F99" s="41"/>
      <c r="Q99" s="24"/>
      <c r="R99" s="24"/>
    </row>
    <row r="100" ht="15.75" customHeight="1">
      <c r="F100" s="41"/>
      <c r="Q100" s="24"/>
      <c r="R100" s="24"/>
    </row>
    <row r="101" ht="15.75" customHeight="1">
      <c r="F101" s="41"/>
      <c r="Q101" s="24"/>
      <c r="R101" s="24"/>
    </row>
    <row r="102" ht="15.75" customHeight="1">
      <c r="F102" s="41"/>
      <c r="Q102" s="24"/>
      <c r="R102" s="24"/>
    </row>
    <row r="103" ht="15.75" customHeight="1">
      <c r="F103" s="41"/>
      <c r="Q103" s="24"/>
      <c r="R103" s="24"/>
    </row>
    <row r="104" ht="15.75" customHeight="1">
      <c r="F104" s="41"/>
      <c r="Q104" s="24"/>
      <c r="R104" s="24"/>
    </row>
    <row r="105" ht="15.75" customHeight="1">
      <c r="F105" s="41"/>
      <c r="Q105" s="24"/>
      <c r="R105" s="24"/>
    </row>
    <row r="106" ht="15.75" customHeight="1">
      <c r="F106" s="41"/>
      <c r="Q106" s="24"/>
      <c r="R106" s="24"/>
    </row>
    <row r="107" ht="15.75" customHeight="1">
      <c r="F107" s="41"/>
      <c r="Q107" s="24"/>
      <c r="R107" s="24"/>
    </row>
    <row r="108" ht="15.75" customHeight="1">
      <c r="F108" s="41"/>
      <c r="Q108" s="24"/>
      <c r="R108" s="24"/>
    </row>
    <row r="109" ht="15.75" customHeight="1">
      <c r="F109" s="41"/>
      <c r="Q109" s="24"/>
      <c r="R109" s="24"/>
    </row>
    <row r="110" ht="15.75" customHeight="1">
      <c r="F110" s="41"/>
      <c r="Q110" s="24"/>
      <c r="R110" s="24"/>
    </row>
    <row r="111" ht="15.75" customHeight="1">
      <c r="F111" s="41"/>
      <c r="Q111" s="24"/>
      <c r="R111" s="24"/>
    </row>
    <row r="112" ht="15.75" customHeight="1">
      <c r="F112" s="41"/>
      <c r="Q112" s="24"/>
      <c r="R112" s="24"/>
    </row>
    <row r="113" ht="15.75" customHeight="1">
      <c r="F113" s="41"/>
      <c r="Q113" s="24"/>
      <c r="R113" s="24"/>
    </row>
    <row r="114" ht="15.75" customHeight="1">
      <c r="F114" s="41"/>
      <c r="Q114" s="24"/>
      <c r="R114" s="24"/>
    </row>
    <row r="115" ht="15.75" customHeight="1">
      <c r="F115" s="41"/>
      <c r="Q115" s="24"/>
      <c r="R115" s="24"/>
    </row>
    <row r="116" ht="15.75" customHeight="1">
      <c r="F116" s="41"/>
      <c r="Q116" s="24"/>
      <c r="R116" s="24"/>
    </row>
    <row r="117" ht="15.75" customHeight="1">
      <c r="F117" s="41"/>
      <c r="Q117" s="24"/>
      <c r="R117" s="24"/>
    </row>
    <row r="118" ht="15.75" customHeight="1">
      <c r="F118" s="41"/>
      <c r="Q118" s="24"/>
      <c r="R118" s="24"/>
    </row>
    <row r="119" ht="15.75" customHeight="1">
      <c r="F119" s="41"/>
      <c r="Q119" s="24"/>
      <c r="R119" s="24"/>
    </row>
    <row r="120" ht="15.75" customHeight="1">
      <c r="F120" s="41"/>
      <c r="Q120" s="24"/>
      <c r="R120" s="24"/>
    </row>
    <row r="121" ht="15.75" customHeight="1">
      <c r="F121" s="41"/>
      <c r="Q121" s="24"/>
      <c r="R121" s="24"/>
    </row>
    <row r="122" ht="15.75" customHeight="1">
      <c r="F122" s="41"/>
      <c r="Q122" s="24"/>
      <c r="R122" s="24"/>
    </row>
    <row r="123" ht="15.75" customHeight="1">
      <c r="F123" s="41"/>
      <c r="Q123" s="24"/>
      <c r="R123" s="24"/>
    </row>
    <row r="124" ht="15.75" customHeight="1">
      <c r="F124" s="41"/>
      <c r="Q124" s="24"/>
      <c r="R124" s="24"/>
    </row>
    <row r="125" ht="15.75" customHeight="1">
      <c r="F125" s="41"/>
      <c r="Q125" s="24"/>
      <c r="R125" s="24"/>
    </row>
    <row r="126" ht="15.75" customHeight="1">
      <c r="F126" s="41"/>
      <c r="Q126" s="24"/>
      <c r="R126" s="24"/>
    </row>
    <row r="127" ht="15.75" customHeight="1">
      <c r="F127" s="41"/>
      <c r="Q127" s="24"/>
      <c r="R127" s="24"/>
    </row>
    <row r="128" ht="15.75" customHeight="1">
      <c r="F128" s="41"/>
      <c r="Q128" s="24"/>
      <c r="R128" s="24"/>
    </row>
    <row r="129" ht="15.75" customHeight="1">
      <c r="F129" s="41"/>
      <c r="Q129" s="24"/>
      <c r="R129" s="24"/>
    </row>
    <row r="130" ht="15.75" customHeight="1">
      <c r="F130" s="41"/>
      <c r="Q130" s="24"/>
      <c r="R130" s="24"/>
    </row>
    <row r="131" ht="15.75" customHeight="1">
      <c r="F131" s="41"/>
      <c r="Q131" s="24"/>
      <c r="R131" s="24"/>
    </row>
    <row r="132" ht="15.75" customHeight="1">
      <c r="F132" s="41"/>
      <c r="Q132" s="24"/>
      <c r="R132" s="24"/>
    </row>
    <row r="133" ht="15.75" customHeight="1">
      <c r="F133" s="41"/>
      <c r="Q133" s="24"/>
      <c r="R133" s="24"/>
    </row>
    <row r="134" ht="15.75" customHeight="1">
      <c r="F134" s="41"/>
      <c r="Q134" s="24"/>
      <c r="R134" s="24"/>
    </row>
    <row r="135" ht="15.75" customHeight="1">
      <c r="F135" s="41"/>
      <c r="Q135" s="24"/>
      <c r="R135" s="24"/>
    </row>
    <row r="136" ht="15.75" customHeight="1">
      <c r="F136" s="41"/>
      <c r="Q136" s="24"/>
      <c r="R136" s="24"/>
    </row>
    <row r="137" ht="15.75" customHeight="1">
      <c r="F137" s="41"/>
      <c r="Q137" s="24"/>
      <c r="R137" s="24"/>
    </row>
    <row r="138" ht="15.75" customHeight="1">
      <c r="F138" s="41"/>
      <c r="Q138" s="24"/>
      <c r="R138" s="24"/>
    </row>
    <row r="139" ht="15.75" customHeight="1">
      <c r="F139" s="41"/>
      <c r="Q139" s="24"/>
      <c r="R139" s="24"/>
    </row>
    <row r="140" ht="15.75" customHeight="1">
      <c r="F140" s="41"/>
      <c r="Q140" s="24"/>
      <c r="R140" s="24"/>
    </row>
    <row r="141" ht="15.75" customHeight="1">
      <c r="F141" s="41"/>
      <c r="Q141" s="24"/>
      <c r="R141" s="24"/>
    </row>
    <row r="142" ht="15.75" customHeight="1">
      <c r="F142" s="41"/>
      <c r="Q142" s="24"/>
      <c r="R142" s="24"/>
    </row>
    <row r="143" ht="15.75" customHeight="1">
      <c r="F143" s="41"/>
      <c r="Q143" s="24"/>
      <c r="R143" s="24"/>
    </row>
    <row r="144" ht="15.75" customHeight="1">
      <c r="F144" s="41"/>
      <c r="Q144" s="24"/>
      <c r="R144" s="24"/>
    </row>
    <row r="145" ht="15.75" customHeight="1">
      <c r="F145" s="41"/>
      <c r="Q145" s="24"/>
      <c r="R145" s="24"/>
    </row>
    <row r="146" ht="15.75" customHeight="1">
      <c r="F146" s="41"/>
      <c r="Q146" s="24"/>
      <c r="R146" s="24"/>
    </row>
    <row r="147" ht="15.75" customHeight="1">
      <c r="F147" s="41"/>
      <c r="Q147" s="24"/>
      <c r="R147" s="24"/>
    </row>
    <row r="148" ht="15.75" customHeight="1">
      <c r="F148" s="41"/>
      <c r="Q148" s="24"/>
      <c r="R148" s="24"/>
    </row>
    <row r="149" ht="15.75" customHeight="1">
      <c r="F149" s="41"/>
      <c r="Q149" s="24"/>
      <c r="R149" s="24"/>
    </row>
    <row r="150" ht="15.75" customHeight="1">
      <c r="F150" s="41"/>
      <c r="Q150" s="24"/>
      <c r="R150" s="24"/>
    </row>
    <row r="151" ht="15.75" customHeight="1">
      <c r="F151" s="41"/>
      <c r="Q151" s="24"/>
      <c r="R151" s="24"/>
    </row>
    <row r="152" ht="15.75" customHeight="1">
      <c r="F152" s="41"/>
      <c r="Q152" s="24"/>
      <c r="R152" s="24"/>
    </row>
    <row r="153" ht="15.75" customHeight="1">
      <c r="F153" s="41"/>
      <c r="Q153" s="24"/>
      <c r="R153" s="24"/>
    </row>
    <row r="154" ht="15.75" customHeight="1">
      <c r="F154" s="41"/>
      <c r="Q154" s="24"/>
      <c r="R154" s="24"/>
    </row>
    <row r="155" ht="15.75" customHeight="1">
      <c r="F155" s="41"/>
      <c r="Q155" s="24"/>
      <c r="R155" s="24"/>
    </row>
    <row r="156" ht="15.75" customHeight="1">
      <c r="F156" s="41"/>
      <c r="Q156" s="24"/>
      <c r="R156" s="24"/>
    </row>
    <row r="157" ht="15.75" customHeight="1">
      <c r="F157" s="41"/>
      <c r="Q157" s="24"/>
      <c r="R157" s="24"/>
    </row>
    <row r="158" ht="15.75" customHeight="1">
      <c r="F158" s="41"/>
      <c r="Q158" s="24"/>
      <c r="R158" s="24"/>
    </row>
    <row r="159" ht="15.75" customHeight="1">
      <c r="F159" s="41"/>
      <c r="Q159" s="24"/>
      <c r="R159" s="24"/>
    </row>
    <row r="160" ht="15.75" customHeight="1">
      <c r="F160" s="41"/>
      <c r="Q160" s="24"/>
      <c r="R160" s="24"/>
    </row>
    <row r="161" ht="15.75" customHeight="1">
      <c r="F161" s="41"/>
      <c r="Q161" s="24"/>
      <c r="R161" s="24"/>
    </row>
    <row r="162" ht="15.75" customHeight="1">
      <c r="F162" s="41"/>
      <c r="Q162" s="24"/>
      <c r="R162" s="24"/>
    </row>
    <row r="163" ht="15.75" customHeight="1">
      <c r="F163" s="41"/>
      <c r="Q163" s="24"/>
      <c r="R163" s="24"/>
    </row>
    <row r="164" ht="15.75" customHeight="1">
      <c r="F164" s="41"/>
      <c r="Q164" s="24"/>
      <c r="R164" s="24"/>
    </row>
    <row r="165" ht="15.75" customHeight="1">
      <c r="F165" s="41"/>
      <c r="Q165" s="24"/>
      <c r="R165" s="24"/>
    </row>
    <row r="166" ht="15.75" customHeight="1">
      <c r="F166" s="41"/>
      <c r="Q166" s="24"/>
      <c r="R166" s="24"/>
    </row>
    <row r="167" ht="15.75" customHeight="1">
      <c r="F167" s="41"/>
      <c r="Q167" s="24"/>
      <c r="R167" s="24"/>
    </row>
    <row r="168" ht="15.75" customHeight="1">
      <c r="F168" s="41"/>
      <c r="Q168" s="24"/>
      <c r="R168" s="24"/>
    </row>
    <row r="169" ht="15.75" customHeight="1">
      <c r="F169" s="41"/>
      <c r="Q169" s="24"/>
      <c r="R169" s="24"/>
    </row>
    <row r="170" ht="15.75" customHeight="1">
      <c r="F170" s="41"/>
      <c r="Q170" s="24"/>
      <c r="R170" s="24"/>
    </row>
    <row r="171" ht="15.75" customHeight="1">
      <c r="F171" s="41"/>
      <c r="Q171" s="24"/>
      <c r="R171" s="24"/>
    </row>
    <row r="172" ht="15.75" customHeight="1">
      <c r="F172" s="41"/>
      <c r="Q172" s="24"/>
      <c r="R172" s="24"/>
    </row>
    <row r="173" ht="15.75" customHeight="1">
      <c r="F173" s="41"/>
      <c r="Q173" s="24"/>
      <c r="R173" s="24"/>
    </row>
    <row r="174" ht="15.75" customHeight="1">
      <c r="F174" s="41"/>
      <c r="Q174" s="24"/>
      <c r="R174" s="24"/>
    </row>
    <row r="175" ht="15.75" customHeight="1">
      <c r="F175" s="41"/>
      <c r="Q175" s="24"/>
      <c r="R175" s="24"/>
    </row>
    <row r="176" ht="15.75" customHeight="1">
      <c r="F176" s="41"/>
      <c r="Q176" s="24"/>
      <c r="R176" s="24"/>
    </row>
    <row r="177" ht="15.75" customHeight="1">
      <c r="F177" s="41"/>
      <c r="Q177" s="24"/>
      <c r="R177" s="24"/>
    </row>
    <row r="178" ht="15.75" customHeight="1">
      <c r="F178" s="41"/>
      <c r="Q178" s="24"/>
      <c r="R178" s="24"/>
    </row>
    <row r="179" ht="15.75" customHeight="1">
      <c r="F179" s="41"/>
      <c r="Q179" s="24"/>
      <c r="R179" s="24"/>
    </row>
    <row r="180" ht="15.75" customHeight="1">
      <c r="F180" s="41"/>
      <c r="Q180" s="24"/>
      <c r="R180" s="24"/>
    </row>
    <row r="181" ht="15.75" customHeight="1">
      <c r="F181" s="41"/>
      <c r="Q181" s="24"/>
      <c r="R181" s="24"/>
    </row>
    <row r="182" ht="15.75" customHeight="1">
      <c r="F182" s="41"/>
      <c r="Q182" s="24"/>
      <c r="R182" s="24"/>
    </row>
    <row r="183" ht="15.75" customHeight="1">
      <c r="F183" s="41"/>
      <c r="Q183" s="24"/>
      <c r="R183" s="24"/>
    </row>
    <row r="184" ht="15.75" customHeight="1">
      <c r="F184" s="41"/>
      <c r="Q184" s="24"/>
      <c r="R184" s="24"/>
    </row>
    <row r="185" ht="15.75" customHeight="1">
      <c r="F185" s="41"/>
      <c r="Q185" s="24"/>
      <c r="R185" s="24"/>
    </row>
    <row r="186" ht="15.75" customHeight="1">
      <c r="F186" s="41"/>
      <c r="Q186" s="24"/>
      <c r="R186" s="24"/>
    </row>
    <row r="187" ht="15.75" customHeight="1">
      <c r="F187" s="41"/>
      <c r="Q187" s="24"/>
      <c r="R187" s="24"/>
    </row>
    <row r="188" ht="15.75" customHeight="1">
      <c r="F188" s="41"/>
      <c r="Q188" s="24"/>
      <c r="R188" s="24"/>
    </row>
    <row r="189" ht="15.75" customHeight="1">
      <c r="F189" s="41"/>
      <c r="Q189" s="24"/>
      <c r="R189" s="24"/>
    </row>
    <row r="190" ht="15.75" customHeight="1">
      <c r="F190" s="41"/>
      <c r="Q190" s="24"/>
      <c r="R190" s="24"/>
    </row>
    <row r="191" ht="15.75" customHeight="1">
      <c r="F191" s="41"/>
      <c r="Q191" s="24"/>
      <c r="R191" s="24"/>
    </row>
    <row r="192" ht="15.75" customHeight="1">
      <c r="F192" s="41"/>
      <c r="Q192" s="24"/>
      <c r="R192" s="24"/>
    </row>
    <row r="193" ht="15.75" customHeight="1">
      <c r="F193" s="41"/>
      <c r="Q193" s="24"/>
      <c r="R193" s="24"/>
    </row>
    <row r="194" ht="15.75" customHeight="1">
      <c r="F194" s="41"/>
      <c r="Q194" s="24"/>
      <c r="R194" s="24"/>
    </row>
    <row r="195" ht="15.75" customHeight="1">
      <c r="F195" s="41"/>
      <c r="Q195" s="24"/>
      <c r="R195" s="24"/>
    </row>
    <row r="196" ht="15.75" customHeight="1">
      <c r="F196" s="41"/>
      <c r="Q196" s="24"/>
      <c r="R196" s="24"/>
    </row>
    <row r="197" ht="15.75" customHeight="1">
      <c r="F197" s="41"/>
      <c r="Q197" s="24"/>
      <c r="R197" s="24"/>
    </row>
    <row r="198" ht="15.75" customHeight="1">
      <c r="F198" s="41"/>
      <c r="Q198" s="24"/>
      <c r="R198" s="24"/>
    </row>
    <row r="199" ht="15.75" customHeight="1">
      <c r="F199" s="41"/>
      <c r="Q199" s="24"/>
      <c r="R199" s="24"/>
    </row>
    <row r="200" ht="15.75" customHeight="1">
      <c r="F200" s="41"/>
      <c r="Q200" s="24"/>
      <c r="R200" s="24"/>
    </row>
    <row r="201" ht="15.75" customHeight="1">
      <c r="F201" s="41"/>
      <c r="Q201" s="24"/>
      <c r="R201" s="24"/>
    </row>
    <row r="202" ht="15.75" customHeight="1">
      <c r="F202" s="41"/>
      <c r="Q202" s="24"/>
      <c r="R202" s="24"/>
    </row>
    <row r="203" ht="15.75" customHeight="1">
      <c r="F203" s="41"/>
      <c r="Q203" s="24"/>
      <c r="R203" s="24"/>
    </row>
    <row r="204" ht="15.75" customHeight="1">
      <c r="F204" s="41"/>
      <c r="Q204" s="24"/>
      <c r="R204" s="24"/>
    </row>
    <row r="205" ht="15.75" customHeight="1">
      <c r="F205" s="41"/>
      <c r="Q205" s="24"/>
      <c r="R205" s="24"/>
    </row>
    <row r="206" ht="15.75" customHeight="1">
      <c r="F206" s="41"/>
      <c r="Q206" s="24"/>
      <c r="R206" s="24"/>
    </row>
    <row r="207" ht="15.75" customHeight="1">
      <c r="F207" s="41"/>
      <c r="Q207" s="24"/>
      <c r="R207" s="24"/>
    </row>
    <row r="208" ht="15.75" customHeight="1">
      <c r="F208" s="41"/>
      <c r="Q208" s="24"/>
      <c r="R208" s="24"/>
    </row>
    <row r="209" ht="15.75" customHeight="1">
      <c r="F209" s="41"/>
      <c r="Q209" s="24"/>
      <c r="R209" s="24"/>
    </row>
    <row r="210" ht="15.75" customHeight="1">
      <c r="F210" s="41"/>
      <c r="Q210" s="24"/>
      <c r="R210" s="24"/>
    </row>
    <row r="211" ht="15.75" customHeight="1">
      <c r="F211" s="41"/>
      <c r="Q211" s="24"/>
      <c r="R211" s="24"/>
    </row>
    <row r="212" ht="15.75" customHeight="1">
      <c r="F212" s="41"/>
      <c r="Q212" s="24"/>
      <c r="R212" s="24"/>
    </row>
    <row r="213" ht="15.75" customHeight="1">
      <c r="F213" s="41"/>
      <c r="Q213" s="24"/>
      <c r="R213" s="24"/>
    </row>
    <row r="214" ht="15.75" customHeight="1">
      <c r="F214" s="41"/>
      <c r="Q214" s="24"/>
      <c r="R214" s="24"/>
    </row>
    <row r="215" ht="15.75" customHeight="1">
      <c r="F215" s="41"/>
      <c r="Q215" s="24"/>
      <c r="R215" s="24"/>
    </row>
    <row r="216" ht="15.75" customHeight="1">
      <c r="F216" s="41"/>
      <c r="Q216" s="24"/>
      <c r="R216" s="24"/>
    </row>
    <row r="217" ht="15.75" customHeight="1">
      <c r="F217" s="41"/>
      <c r="Q217" s="24"/>
      <c r="R217" s="24"/>
    </row>
    <row r="218" ht="15.75" customHeight="1">
      <c r="F218" s="41"/>
      <c r="Q218" s="24"/>
      <c r="R218" s="24"/>
    </row>
    <row r="219" ht="15.75" customHeight="1">
      <c r="F219" s="41"/>
      <c r="Q219" s="24"/>
      <c r="R219" s="24"/>
    </row>
    <row r="220" ht="15.75" customHeight="1">
      <c r="F220" s="41"/>
      <c r="Q220" s="24"/>
      <c r="R220" s="24"/>
    </row>
    <row r="221" ht="15.75" customHeight="1">
      <c r="F221" s="41"/>
      <c r="Q221" s="24"/>
      <c r="R221" s="24"/>
    </row>
    <row r="222" ht="15.75" customHeight="1">
      <c r="F222" s="41"/>
      <c r="Q222" s="24"/>
      <c r="R222" s="24"/>
    </row>
    <row r="223" ht="15.75" customHeight="1">
      <c r="F223" s="41"/>
      <c r="Q223" s="24"/>
      <c r="R223" s="24"/>
    </row>
    <row r="224" ht="15.75" customHeight="1">
      <c r="F224" s="41"/>
      <c r="Q224" s="24"/>
      <c r="R224" s="24"/>
    </row>
    <row r="225" ht="15.75" customHeight="1">
      <c r="F225" s="41"/>
      <c r="Q225" s="24"/>
      <c r="R225" s="24"/>
    </row>
    <row r="226" ht="15.75" customHeight="1">
      <c r="F226" s="41"/>
      <c r="Q226" s="24"/>
      <c r="R226" s="24"/>
    </row>
    <row r="227" ht="15.75" customHeight="1">
      <c r="F227" s="41"/>
      <c r="Q227" s="24"/>
      <c r="R227" s="24"/>
    </row>
    <row r="228" ht="15.75" customHeight="1">
      <c r="F228" s="41"/>
      <c r="Q228" s="24"/>
      <c r="R228" s="24"/>
    </row>
    <row r="229" ht="15.75" customHeight="1">
      <c r="F229" s="41"/>
      <c r="Q229" s="24"/>
      <c r="R229" s="24"/>
    </row>
    <row r="230" ht="15.75" customHeight="1">
      <c r="F230" s="41"/>
      <c r="Q230" s="24"/>
      <c r="R230" s="24"/>
    </row>
    <row r="231" ht="15.75" customHeight="1">
      <c r="F231" s="41"/>
      <c r="Q231" s="24"/>
      <c r="R231" s="24"/>
    </row>
    <row r="232" ht="15.75" customHeight="1">
      <c r="F232" s="41"/>
      <c r="Q232" s="24"/>
      <c r="R232" s="24"/>
    </row>
    <row r="233" ht="15.75" customHeight="1">
      <c r="F233" s="41"/>
      <c r="Q233" s="24"/>
      <c r="R233" s="24"/>
    </row>
    <row r="234" ht="15.75" customHeight="1">
      <c r="F234" s="41"/>
      <c r="Q234" s="24"/>
      <c r="R234" s="24"/>
    </row>
    <row r="235" ht="15.75" customHeight="1">
      <c r="F235" s="41"/>
      <c r="Q235" s="24"/>
      <c r="R235" s="24"/>
    </row>
    <row r="236" ht="15.75" customHeight="1">
      <c r="F236" s="41"/>
      <c r="Q236" s="24"/>
      <c r="R236" s="24"/>
    </row>
    <row r="237" ht="15.75" customHeight="1">
      <c r="F237" s="41"/>
      <c r="Q237" s="24"/>
      <c r="R237" s="24"/>
    </row>
    <row r="238" ht="15.75" customHeight="1">
      <c r="F238" s="41"/>
      <c r="Q238" s="24"/>
      <c r="R238" s="24"/>
    </row>
    <row r="239" ht="15.75" customHeight="1">
      <c r="F239" s="41"/>
      <c r="Q239" s="24"/>
      <c r="R239" s="24"/>
    </row>
    <row r="240" ht="15.75" customHeight="1">
      <c r="F240" s="41"/>
      <c r="Q240" s="24"/>
      <c r="R240" s="24"/>
    </row>
    <row r="241" ht="15.75" customHeight="1">
      <c r="F241" s="41"/>
      <c r="Q241" s="24"/>
      <c r="R241" s="24"/>
    </row>
    <row r="242" ht="15.75" customHeight="1">
      <c r="F242" s="41"/>
      <c r="Q242" s="24"/>
      <c r="R242" s="24"/>
    </row>
    <row r="243" ht="15.75" customHeight="1">
      <c r="F243" s="41"/>
      <c r="Q243" s="24"/>
      <c r="R243" s="24"/>
    </row>
    <row r="244" ht="15.75" customHeight="1">
      <c r="F244" s="41"/>
      <c r="Q244" s="24"/>
      <c r="R244" s="24"/>
    </row>
    <row r="245" ht="15.75" customHeight="1">
      <c r="F245" s="41"/>
      <c r="Q245" s="24"/>
      <c r="R245" s="24"/>
    </row>
    <row r="246" ht="15.75" customHeight="1">
      <c r="F246" s="41"/>
      <c r="Q246" s="24"/>
      <c r="R246" s="24"/>
    </row>
    <row r="247" ht="15.75" customHeight="1">
      <c r="F247" s="41"/>
      <c r="Q247" s="24"/>
      <c r="R247" s="24"/>
    </row>
    <row r="248" ht="15.75" customHeight="1">
      <c r="F248" s="41"/>
      <c r="Q248" s="24"/>
      <c r="R248" s="24"/>
    </row>
    <row r="249" ht="15.75" customHeight="1">
      <c r="F249" s="41"/>
      <c r="Q249" s="24"/>
      <c r="R249" s="24"/>
    </row>
    <row r="250" ht="15.75" customHeight="1">
      <c r="F250" s="41"/>
      <c r="Q250" s="24"/>
      <c r="R250" s="24"/>
    </row>
    <row r="251" ht="15.75" customHeight="1">
      <c r="F251" s="41"/>
      <c r="Q251" s="24"/>
      <c r="R251" s="24"/>
    </row>
    <row r="252" ht="15.75" customHeight="1">
      <c r="F252" s="41"/>
      <c r="Q252" s="24"/>
      <c r="R252" s="24"/>
    </row>
    <row r="253" ht="15.75" customHeight="1">
      <c r="F253" s="41"/>
      <c r="Q253" s="24"/>
      <c r="R253" s="24"/>
    </row>
    <row r="254" ht="15.75" customHeight="1">
      <c r="F254" s="41"/>
      <c r="Q254" s="24"/>
      <c r="R254" s="24"/>
    </row>
    <row r="255" ht="15.75" customHeight="1">
      <c r="F255" s="41"/>
      <c r="Q255" s="24"/>
      <c r="R255" s="24"/>
    </row>
    <row r="256" ht="15.75" customHeight="1">
      <c r="F256" s="41"/>
      <c r="Q256" s="24"/>
      <c r="R256" s="24"/>
    </row>
    <row r="257" ht="15.75" customHeight="1">
      <c r="F257" s="41"/>
      <c r="Q257" s="24"/>
      <c r="R257" s="24"/>
    </row>
    <row r="258" ht="15.75" customHeight="1">
      <c r="F258" s="41"/>
      <c r="Q258" s="24"/>
      <c r="R258" s="24"/>
    </row>
    <row r="259" ht="15.75" customHeight="1">
      <c r="F259" s="41"/>
      <c r="Q259" s="24"/>
      <c r="R259" s="24"/>
    </row>
    <row r="260" ht="15.75" customHeight="1">
      <c r="F260" s="41"/>
      <c r="Q260" s="24"/>
      <c r="R260" s="24"/>
    </row>
    <row r="261" ht="15.75" customHeight="1">
      <c r="F261" s="41"/>
      <c r="Q261" s="24"/>
      <c r="R261" s="24"/>
    </row>
    <row r="262" ht="15.75" customHeight="1">
      <c r="F262" s="41"/>
      <c r="Q262" s="24"/>
      <c r="R262" s="24"/>
    </row>
    <row r="263" ht="15.75" customHeight="1">
      <c r="F263" s="41"/>
      <c r="Q263" s="24"/>
      <c r="R263" s="24"/>
    </row>
    <row r="264" ht="15.75" customHeight="1">
      <c r="F264" s="41"/>
      <c r="Q264" s="24"/>
      <c r="R264" s="24"/>
    </row>
    <row r="265" ht="15.75" customHeight="1">
      <c r="F265" s="41"/>
      <c r="Q265" s="24"/>
      <c r="R265" s="24"/>
    </row>
    <row r="266" ht="15.75" customHeight="1">
      <c r="F266" s="41"/>
      <c r="Q266" s="24"/>
      <c r="R266" s="24"/>
    </row>
    <row r="267" ht="15.75" customHeight="1">
      <c r="F267" s="41"/>
      <c r="Q267" s="24"/>
      <c r="R267" s="24"/>
    </row>
    <row r="268" ht="15.75" customHeight="1">
      <c r="F268" s="41"/>
      <c r="Q268" s="24"/>
      <c r="R268" s="24"/>
    </row>
    <row r="269" ht="15.75" customHeight="1">
      <c r="F269" s="41"/>
      <c r="Q269" s="24"/>
      <c r="R269" s="24"/>
    </row>
    <row r="270" ht="15.75" customHeight="1">
      <c r="F270" s="41"/>
      <c r="Q270" s="24"/>
      <c r="R270" s="24"/>
    </row>
    <row r="271" ht="15.75" customHeight="1">
      <c r="F271" s="41"/>
      <c r="Q271" s="24"/>
      <c r="R271" s="24"/>
    </row>
    <row r="272" ht="15.75" customHeight="1">
      <c r="F272" s="41"/>
      <c r="Q272" s="24"/>
      <c r="R272" s="24"/>
    </row>
    <row r="273" ht="15.75" customHeight="1">
      <c r="F273" s="41"/>
      <c r="Q273" s="24"/>
      <c r="R273" s="24"/>
    </row>
    <row r="274" ht="15.75" customHeight="1">
      <c r="F274" s="41"/>
      <c r="Q274" s="24"/>
      <c r="R274" s="24"/>
    </row>
    <row r="275" ht="15.75" customHeight="1">
      <c r="F275" s="41"/>
      <c r="Q275" s="24"/>
      <c r="R275" s="24"/>
    </row>
    <row r="276" ht="15.75" customHeight="1">
      <c r="F276" s="41"/>
      <c r="Q276" s="24"/>
      <c r="R276" s="24"/>
    </row>
    <row r="277" ht="15.75" customHeight="1">
      <c r="F277" s="41"/>
      <c r="Q277" s="24"/>
      <c r="R277" s="24"/>
    </row>
    <row r="278" ht="15.75" customHeight="1">
      <c r="F278" s="41"/>
      <c r="Q278" s="24"/>
      <c r="R278" s="24"/>
    </row>
    <row r="279" ht="15.75" customHeight="1">
      <c r="F279" s="41"/>
      <c r="Q279" s="24"/>
      <c r="R279" s="24"/>
    </row>
    <row r="280" ht="15.75" customHeight="1">
      <c r="F280" s="41"/>
      <c r="Q280" s="24"/>
      <c r="R280" s="24"/>
    </row>
    <row r="281" ht="15.75" customHeight="1">
      <c r="F281" s="41"/>
      <c r="Q281" s="24"/>
      <c r="R281" s="24"/>
    </row>
    <row r="282" ht="15.75" customHeight="1">
      <c r="F282" s="41"/>
      <c r="Q282" s="24"/>
      <c r="R282" s="24"/>
    </row>
    <row r="283" ht="15.75" customHeight="1">
      <c r="F283" s="41"/>
      <c r="Q283" s="24"/>
      <c r="R283" s="24"/>
    </row>
    <row r="284" ht="15.75" customHeight="1">
      <c r="F284" s="41"/>
      <c r="Q284" s="24"/>
      <c r="R284" s="24"/>
    </row>
    <row r="285" ht="15.75" customHeight="1">
      <c r="F285" s="41"/>
      <c r="Q285" s="24"/>
      <c r="R285" s="24"/>
    </row>
    <row r="286" ht="15.75" customHeight="1">
      <c r="F286" s="41"/>
      <c r="Q286" s="24"/>
      <c r="R286" s="24"/>
    </row>
    <row r="287" ht="15.75" customHeight="1">
      <c r="F287" s="41"/>
      <c r="Q287" s="24"/>
      <c r="R287" s="24"/>
    </row>
    <row r="288" ht="15.75" customHeight="1">
      <c r="F288" s="41"/>
      <c r="Q288" s="24"/>
      <c r="R288" s="24"/>
    </row>
    <row r="289" ht="15.75" customHeight="1">
      <c r="F289" s="41"/>
      <c r="Q289" s="24"/>
      <c r="R289" s="24"/>
    </row>
    <row r="290" ht="15.75" customHeight="1">
      <c r="F290" s="41"/>
      <c r="Q290" s="24"/>
      <c r="R290" s="24"/>
    </row>
    <row r="291" ht="15.75" customHeight="1">
      <c r="F291" s="41"/>
      <c r="Q291" s="24"/>
      <c r="R291" s="24"/>
    </row>
    <row r="292" ht="15.75" customHeight="1">
      <c r="F292" s="41"/>
      <c r="Q292" s="24"/>
      <c r="R292" s="24"/>
    </row>
    <row r="293" ht="15.75" customHeight="1">
      <c r="F293" s="41"/>
      <c r="Q293" s="24"/>
      <c r="R293" s="24"/>
    </row>
    <row r="294" ht="15.75" customHeight="1">
      <c r="F294" s="41"/>
      <c r="Q294" s="24"/>
      <c r="R294" s="24"/>
    </row>
    <row r="295" ht="15.75" customHeight="1">
      <c r="F295" s="41"/>
      <c r="Q295" s="24"/>
      <c r="R295" s="24"/>
    </row>
    <row r="296" ht="15.75" customHeight="1">
      <c r="F296" s="41"/>
      <c r="Q296" s="24"/>
      <c r="R296" s="24"/>
    </row>
    <row r="297" ht="15.75" customHeight="1">
      <c r="F297" s="41"/>
      <c r="Q297" s="24"/>
      <c r="R297" s="24"/>
    </row>
    <row r="298" ht="15.75" customHeight="1">
      <c r="F298" s="41"/>
      <c r="Q298" s="24"/>
      <c r="R298" s="24"/>
    </row>
    <row r="299" ht="15.75" customHeight="1">
      <c r="F299" s="41"/>
      <c r="Q299" s="24"/>
      <c r="R299" s="24"/>
    </row>
    <row r="300" ht="15.75" customHeight="1">
      <c r="F300" s="41"/>
      <c r="Q300" s="24"/>
      <c r="R300" s="24"/>
    </row>
    <row r="301" ht="15.75" customHeight="1">
      <c r="F301" s="41"/>
      <c r="Q301" s="24"/>
      <c r="R301" s="24"/>
    </row>
    <row r="302" ht="15.75" customHeight="1">
      <c r="F302" s="41"/>
      <c r="Q302" s="24"/>
      <c r="R302" s="24"/>
    </row>
    <row r="303" ht="15.75" customHeight="1">
      <c r="F303" s="41"/>
      <c r="Q303" s="24"/>
      <c r="R303" s="24"/>
    </row>
    <row r="304" ht="15.75" customHeight="1">
      <c r="F304" s="41"/>
      <c r="Q304" s="24"/>
      <c r="R304" s="24"/>
    </row>
    <row r="305" ht="15.75" customHeight="1">
      <c r="F305" s="41"/>
      <c r="Q305" s="24"/>
      <c r="R305" s="24"/>
    </row>
    <row r="306" ht="15.75" customHeight="1">
      <c r="F306" s="41"/>
      <c r="Q306" s="24"/>
      <c r="R306" s="24"/>
    </row>
    <row r="307" ht="15.75" customHeight="1">
      <c r="F307" s="41"/>
      <c r="Q307" s="24"/>
      <c r="R307" s="24"/>
    </row>
    <row r="308" ht="15.75" customHeight="1">
      <c r="F308" s="41"/>
      <c r="Q308" s="24"/>
      <c r="R308" s="24"/>
    </row>
    <row r="309" ht="15.75" customHeight="1">
      <c r="F309" s="41"/>
      <c r="Q309" s="24"/>
      <c r="R309" s="24"/>
    </row>
    <row r="310" ht="15.75" customHeight="1">
      <c r="F310" s="41"/>
      <c r="Q310" s="24"/>
      <c r="R310" s="24"/>
    </row>
    <row r="311" ht="15.75" customHeight="1">
      <c r="F311" s="41"/>
      <c r="Q311" s="24"/>
      <c r="R311" s="24"/>
    </row>
    <row r="312" ht="15.75" customHeight="1">
      <c r="F312" s="41"/>
      <c r="Q312" s="24"/>
      <c r="R312" s="24"/>
    </row>
    <row r="313" ht="15.75" customHeight="1">
      <c r="F313" s="41"/>
      <c r="Q313" s="24"/>
      <c r="R313" s="24"/>
    </row>
    <row r="314" ht="15.75" customHeight="1">
      <c r="F314" s="41"/>
      <c r="Q314" s="24"/>
      <c r="R314" s="24"/>
    </row>
    <row r="315" ht="15.75" customHeight="1">
      <c r="F315" s="41"/>
      <c r="Q315" s="24"/>
      <c r="R315" s="24"/>
    </row>
    <row r="316" ht="15.75" customHeight="1">
      <c r="F316" s="41"/>
      <c r="Q316" s="24"/>
      <c r="R316" s="24"/>
    </row>
    <row r="317" ht="15.75" customHeight="1">
      <c r="F317" s="41"/>
      <c r="Q317" s="24"/>
      <c r="R317" s="24"/>
    </row>
    <row r="318" ht="15.75" customHeight="1">
      <c r="F318" s="41"/>
      <c r="Q318" s="24"/>
      <c r="R318" s="24"/>
    </row>
    <row r="319" ht="15.75" customHeight="1">
      <c r="F319" s="41"/>
      <c r="Q319" s="24"/>
      <c r="R319" s="24"/>
    </row>
    <row r="320" ht="15.75" customHeight="1">
      <c r="F320" s="41"/>
      <c r="Q320" s="24"/>
      <c r="R320" s="24"/>
    </row>
    <row r="321" ht="15.75" customHeight="1">
      <c r="F321" s="41"/>
      <c r="Q321" s="24"/>
      <c r="R321" s="24"/>
    </row>
    <row r="322" ht="15.75" customHeight="1">
      <c r="F322" s="41"/>
      <c r="Q322" s="24"/>
      <c r="R322" s="24"/>
    </row>
    <row r="323" ht="15.75" customHeight="1">
      <c r="F323" s="41"/>
      <c r="Q323" s="24"/>
      <c r="R323" s="24"/>
    </row>
    <row r="324" ht="15.75" customHeight="1">
      <c r="F324" s="41"/>
      <c r="Q324" s="24"/>
      <c r="R324" s="24"/>
    </row>
    <row r="325" ht="15.75" customHeight="1">
      <c r="F325" s="41"/>
      <c r="Q325" s="24"/>
      <c r="R325" s="24"/>
    </row>
    <row r="326" ht="15.75" customHeight="1">
      <c r="F326" s="41"/>
      <c r="Q326" s="24"/>
      <c r="R326" s="24"/>
    </row>
    <row r="327" ht="15.75" customHeight="1">
      <c r="F327" s="41"/>
      <c r="Q327" s="24"/>
      <c r="R327" s="24"/>
    </row>
    <row r="328" ht="15.75" customHeight="1">
      <c r="F328" s="41"/>
      <c r="Q328" s="24"/>
      <c r="R328" s="24"/>
    </row>
    <row r="329" ht="15.75" customHeight="1">
      <c r="F329" s="41"/>
      <c r="Q329" s="24"/>
      <c r="R329" s="24"/>
    </row>
    <row r="330" ht="15.75" customHeight="1">
      <c r="F330" s="41"/>
      <c r="Q330" s="24"/>
      <c r="R330" s="24"/>
    </row>
    <row r="331" ht="15.75" customHeight="1">
      <c r="F331" s="41"/>
      <c r="Q331" s="24"/>
      <c r="R331" s="24"/>
    </row>
    <row r="332" ht="15.75" customHeight="1">
      <c r="F332" s="41"/>
      <c r="Q332" s="24"/>
      <c r="R332" s="24"/>
    </row>
    <row r="333" ht="15.75" customHeight="1">
      <c r="F333" s="41"/>
      <c r="Q333" s="24"/>
      <c r="R333" s="24"/>
    </row>
    <row r="334" ht="15.75" customHeight="1">
      <c r="F334" s="41"/>
      <c r="Q334" s="24"/>
      <c r="R334" s="24"/>
    </row>
    <row r="335" ht="15.75" customHeight="1">
      <c r="F335" s="41"/>
      <c r="Q335" s="24"/>
      <c r="R335" s="24"/>
    </row>
    <row r="336" ht="15.75" customHeight="1">
      <c r="F336" s="41"/>
      <c r="Q336" s="24"/>
      <c r="R336" s="24"/>
    </row>
    <row r="337" ht="15.75" customHeight="1">
      <c r="F337" s="41"/>
      <c r="Q337" s="24"/>
      <c r="R337" s="24"/>
    </row>
    <row r="338" ht="15.75" customHeight="1">
      <c r="F338" s="41"/>
      <c r="Q338" s="24"/>
      <c r="R338" s="24"/>
    </row>
    <row r="339" ht="15.75" customHeight="1">
      <c r="F339" s="41"/>
      <c r="Q339" s="24"/>
      <c r="R339" s="24"/>
    </row>
    <row r="340" ht="15.75" customHeight="1">
      <c r="F340" s="41"/>
      <c r="Q340" s="24"/>
      <c r="R340" s="24"/>
    </row>
    <row r="341" ht="15.75" customHeight="1">
      <c r="F341" s="41"/>
      <c r="Q341" s="24"/>
      <c r="R341" s="24"/>
    </row>
    <row r="342" ht="15.75" customHeight="1">
      <c r="F342" s="41"/>
      <c r="Q342" s="24"/>
      <c r="R342" s="24"/>
    </row>
    <row r="343" ht="15.75" customHeight="1">
      <c r="F343" s="41"/>
      <c r="Q343" s="24"/>
      <c r="R343" s="24"/>
    </row>
    <row r="344" ht="15.75" customHeight="1">
      <c r="F344" s="41"/>
      <c r="Q344" s="24"/>
      <c r="R344" s="24"/>
    </row>
    <row r="345" ht="15.75" customHeight="1">
      <c r="F345" s="41"/>
      <c r="Q345" s="24"/>
      <c r="R345" s="24"/>
    </row>
    <row r="346" ht="15.75" customHeight="1">
      <c r="F346" s="41"/>
      <c r="Q346" s="24"/>
      <c r="R346" s="24"/>
    </row>
    <row r="347" ht="15.75" customHeight="1">
      <c r="F347" s="41"/>
      <c r="Q347" s="24"/>
      <c r="R347" s="24"/>
    </row>
    <row r="348" ht="15.75" customHeight="1">
      <c r="F348" s="41"/>
      <c r="Q348" s="24"/>
      <c r="R348" s="24"/>
    </row>
    <row r="349" ht="15.75" customHeight="1">
      <c r="F349" s="41"/>
      <c r="Q349" s="24"/>
      <c r="R349" s="24"/>
    </row>
    <row r="350" ht="15.75" customHeight="1">
      <c r="F350" s="41"/>
      <c r="Q350" s="24"/>
      <c r="R350" s="24"/>
    </row>
    <row r="351" ht="15.75" customHeight="1">
      <c r="F351" s="41"/>
      <c r="Q351" s="24"/>
      <c r="R351" s="24"/>
    </row>
    <row r="352" ht="15.75" customHeight="1">
      <c r="F352" s="41"/>
      <c r="Q352" s="24"/>
      <c r="R352" s="24"/>
    </row>
    <row r="353" ht="15.75" customHeight="1">
      <c r="F353" s="41"/>
      <c r="Q353" s="24"/>
      <c r="R353" s="24"/>
    </row>
    <row r="354" ht="15.75" customHeight="1">
      <c r="F354" s="41"/>
      <c r="Q354" s="24"/>
      <c r="R354" s="24"/>
    </row>
    <row r="355" ht="15.75" customHeight="1">
      <c r="F355" s="41"/>
      <c r="Q355" s="24"/>
      <c r="R355" s="24"/>
    </row>
    <row r="356" ht="15.75" customHeight="1">
      <c r="F356" s="41"/>
      <c r="Q356" s="24"/>
      <c r="R356" s="24"/>
    </row>
    <row r="357" ht="15.75" customHeight="1">
      <c r="F357" s="41"/>
      <c r="Q357" s="24"/>
      <c r="R357" s="24"/>
    </row>
    <row r="358" ht="15.75" customHeight="1">
      <c r="F358" s="41"/>
      <c r="Q358" s="24"/>
      <c r="R358" s="24"/>
    </row>
    <row r="359" ht="15.75" customHeight="1">
      <c r="F359" s="41"/>
      <c r="Q359" s="24"/>
      <c r="R359" s="24"/>
    </row>
    <row r="360" ht="15.75" customHeight="1">
      <c r="F360" s="41"/>
      <c r="Q360" s="24"/>
      <c r="R360" s="24"/>
    </row>
    <row r="361" ht="15.75" customHeight="1">
      <c r="F361" s="41"/>
      <c r="Q361" s="24"/>
      <c r="R361" s="24"/>
    </row>
    <row r="362" ht="15.75" customHeight="1">
      <c r="F362" s="41"/>
      <c r="Q362" s="24"/>
      <c r="R362" s="24"/>
    </row>
    <row r="363" ht="15.75" customHeight="1">
      <c r="F363" s="41"/>
      <c r="Q363" s="24"/>
      <c r="R363" s="24"/>
    </row>
    <row r="364" ht="15.75" customHeight="1">
      <c r="F364" s="41"/>
      <c r="Q364" s="24"/>
      <c r="R364" s="24"/>
    </row>
    <row r="365" ht="15.75" customHeight="1">
      <c r="F365" s="41"/>
      <c r="Q365" s="24"/>
      <c r="R365" s="24"/>
    </row>
    <row r="366" ht="15.75" customHeight="1">
      <c r="F366" s="41"/>
      <c r="Q366" s="24"/>
      <c r="R366" s="24"/>
    </row>
    <row r="367" ht="15.75" customHeight="1">
      <c r="F367" s="41"/>
      <c r="Q367" s="24"/>
      <c r="R367" s="24"/>
    </row>
    <row r="368" ht="15.75" customHeight="1">
      <c r="F368" s="41"/>
      <c r="Q368" s="24"/>
      <c r="R368" s="24"/>
    </row>
    <row r="369" ht="15.75" customHeight="1">
      <c r="F369" s="41"/>
      <c r="Q369" s="24"/>
      <c r="R369" s="24"/>
    </row>
    <row r="370" ht="15.75" customHeight="1">
      <c r="F370" s="41"/>
      <c r="Q370" s="24"/>
      <c r="R370" s="24"/>
    </row>
    <row r="371" ht="15.75" customHeight="1">
      <c r="F371" s="41"/>
      <c r="Q371" s="24"/>
      <c r="R371" s="24"/>
    </row>
    <row r="372" ht="15.75" customHeight="1">
      <c r="F372" s="41"/>
      <c r="Q372" s="24"/>
      <c r="R372" s="24"/>
    </row>
    <row r="373" ht="15.75" customHeight="1">
      <c r="F373" s="41"/>
      <c r="Q373" s="24"/>
      <c r="R373" s="24"/>
    </row>
    <row r="374" ht="15.75" customHeight="1">
      <c r="F374" s="41"/>
      <c r="Q374" s="24"/>
      <c r="R374" s="24"/>
    </row>
    <row r="375" ht="15.75" customHeight="1">
      <c r="F375" s="41"/>
      <c r="Q375" s="24"/>
      <c r="R375" s="24"/>
    </row>
    <row r="376" ht="15.75" customHeight="1">
      <c r="F376" s="41"/>
      <c r="Q376" s="24"/>
      <c r="R376" s="24"/>
    </row>
    <row r="377" ht="15.75" customHeight="1">
      <c r="F377" s="41"/>
      <c r="Q377" s="24"/>
      <c r="R377" s="24"/>
    </row>
    <row r="378" ht="15.75" customHeight="1">
      <c r="F378" s="41"/>
      <c r="Q378" s="24"/>
      <c r="R378" s="24"/>
    </row>
    <row r="379" ht="15.75" customHeight="1">
      <c r="F379" s="41"/>
      <c r="Q379" s="24"/>
      <c r="R379" s="24"/>
    </row>
    <row r="380" ht="15.75" customHeight="1">
      <c r="F380" s="41"/>
      <c r="Q380" s="24"/>
      <c r="R380" s="24"/>
    </row>
    <row r="381" ht="15.75" customHeight="1">
      <c r="F381" s="41"/>
      <c r="Q381" s="24"/>
      <c r="R381" s="24"/>
    </row>
    <row r="382" ht="15.75" customHeight="1">
      <c r="F382" s="41"/>
      <c r="Q382" s="24"/>
      <c r="R382" s="24"/>
    </row>
    <row r="383" ht="15.75" customHeight="1">
      <c r="F383" s="41"/>
      <c r="Q383" s="24"/>
      <c r="R383" s="24"/>
    </row>
    <row r="384" ht="15.75" customHeight="1">
      <c r="F384" s="41"/>
      <c r="Q384" s="24"/>
      <c r="R384" s="24"/>
    </row>
    <row r="385" ht="15.75" customHeight="1">
      <c r="F385" s="41"/>
      <c r="Q385" s="24"/>
      <c r="R385" s="24"/>
    </row>
    <row r="386" ht="15.75" customHeight="1">
      <c r="F386" s="41"/>
      <c r="Q386" s="24"/>
      <c r="R386" s="24"/>
    </row>
    <row r="387" ht="15.75" customHeight="1">
      <c r="F387" s="41"/>
      <c r="Q387" s="24"/>
      <c r="R387" s="24"/>
    </row>
    <row r="388" ht="15.75" customHeight="1">
      <c r="F388" s="41"/>
      <c r="Q388" s="24"/>
      <c r="R388" s="24"/>
    </row>
    <row r="389" ht="15.75" customHeight="1">
      <c r="F389" s="41"/>
      <c r="Q389" s="24"/>
      <c r="R389" s="24"/>
    </row>
    <row r="390" ht="15.75" customHeight="1">
      <c r="F390" s="41"/>
      <c r="Q390" s="24"/>
      <c r="R390" s="24"/>
    </row>
    <row r="391" ht="15.75" customHeight="1">
      <c r="F391" s="41"/>
      <c r="Q391" s="24"/>
      <c r="R391" s="24"/>
    </row>
    <row r="392" ht="15.75" customHeight="1">
      <c r="F392" s="41"/>
      <c r="Q392" s="24"/>
      <c r="R392" s="24"/>
    </row>
    <row r="393" ht="15.75" customHeight="1">
      <c r="F393" s="41"/>
      <c r="Q393" s="24"/>
      <c r="R393" s="24"/>
    </row>
    <row r="394" ht="15.75" customHeight="1">
      <c r="F394" s="41"/>
      <c r="Q394" s="24"/>
      <c r="R394" s="24"/>
    </row>
    <row r="395" ht="15.75" customHeight="1">
      <c r="F395" s="41"/>
      <c r="Q395" s="24"/>
      <c r="R395" s="24"/>
    </row>
    <row r="396" ht="15.75" customHeight="1">
      <c r="F396" s="41"/>
      <c r="Q396" s="24"/>
      <c r="R396" s="24"/>
    </row>
    <row r="397" ht="15.75" customHeight="1">
      <c r="F397" s="41"/>
      <c r="Q397" s="24"/>
      <c r="R397" s="24"/>
    </row>
    <row r="398" ht="15.75" customHeight="1">
      <c r="F398" s="41"/>
      <c r="Q398" s="24"/>
      <c r="R398" s="24"/>
    </row>
    <row r="399" ht="15.75" customHeight="1">
      <c r="F399" s="41"/>
      <c r="Q399" s="24"/>
      <c r="R399" s="24"/>
    </row>
    <row r="400" ht="15.75" customHeight="1">
      <c r="F400" s="41"/>
      <c r="Q400" s="24"/>
      <c r="R400" s="24"/>
    </row>
    <row r="401" ht="15.75" customHeight="1">
      <c r="F401" s="41"/>
      <c r="Q401" s="24"/>
      <c r="R401" s="24"/>
    </row>
    <row r="402" ht="15.75" customHeight="1">
      <c r="F402" s="41"/>
      <c r="Q402" s="24"/>
      <c r="R402" s="24"/>
    </row>
    <row r="403" ht="15.75" customHeight="1">
      <c r="F403" s="41"/>
      <c r="Q403" s="24"/>
      <c r="R403" s="24"/>
    </row>
    <row r="404" ht="15.75" customHeight="1">
      <c r="F404" s="41"/>
      <c r="Q404" s="24"/>
      <c r="R404" s="24"/>
    </row>
    <row r="405" ht="15.75" customHeight="1">
      <c r="F405" s="41"/>
      <c r="Q405" s="24"/>
      <c r="R405" s="24"/>
    </row>
    <row r="406" ht="15.75" customHeight="1">
      <c r="F406" s="41"/>
      <c r="Q406" s="24"/>
      <c r="R406" s="24"/>
    </row>
    <row r="407" ht="15.75" customHeight="1">
      <c r="F407" s="41"/>
      <c r="Q407" s="24"/>
      <c r="R407" s="24"/>
    </row>
    <row r="408" ht="15.75" customHeight="1">
      <c r="F408" s="41"/>
      <c r="Q408" s="24"/>
      <c r="R408" s="24"/>
    </row>
    <row r="409" ht="15.75" customHeight="1">
      <c r="F409" s="41"/>
      <c r="Q409" s="24"/>
      <c r="R409" s="24"/>
    </row>
    <row r="410" ht="15.75" customHeight="1">
      <c r="F410" s="41"/>
      <c r="Q410" s="24"/>
      <c r="R410" s="24"/>
    </row>
    <row r="411" ht="15.75" customHeight="1">
      <c r="F411" s="41"/>
      <c r="Q411" s="24"/>
      <c r="R411" s="24"/>
    </row>
    <row r="412" ht="15.75" customHeight="1">
      <c r="F412" s="41"/>
      <c r="Q412" s="24"/>
      <c r="R412" s="24"/>
    </row>
    <row r="413" ht="15.75" customHeight="1">
      <c r="F413" s="41"/>
      <c r="Q413" s="24"/>
      <c r="R413" s="24"/>
    </row>
    <row r="414" ht="15.75" customHeight="1">
      <c r="F414" s="41"/>
      <c r="Q414" s="24"/>
      <c r="R414" s="24"/>
    </row>
    <row r="415" ht="15.75" customHeight="1">
      <c r="F415" s="41"/>
      <c r="Q415" s="24"/>
      <c r="R415" s="24"/>
    </row>
    <row r="416" ht="15.75" customHeight="1">
      <c r="F416" s="41"/>
      <c r="Q416" s="24"/>
      <c r="R416" s="24"/>
    </row>
    <row r="417" ht="15.75" customHeight="1">
      <c r="F417" s="41"/>
      <c r="Q417" s="24"/>
      <c r="R417" s="24"/>
    </row>
    <row r="418" ht="15.75" customHeight="1">
      <c r="F418" s="41"/>
      <c r="Q418" s="24"/>
      <c r="R418" s="24"/>
    </row>
    <row r="419" ht="15.75" customHeight="1">
      <c r="F419" s="41"/>
      <c r="Q419" s="24"/>
      <c r="R419" s="24"/>
    </row>
    <row r="420" ht="15.75" customHeight="1">
      <c r="F420" s="41"/>
      <c r="Q420" s="24"/>
      <c r="R420" s="24"/>
    </row>
    <row r="421" ht="15.75" customHeight="1">
      <c r="F421" s="41"/>
      <c r="Q421" s="24"/>
      <c r="R421" s="24"/>
    </row>
    <row r="422" ht="15.75" customHeight="1">
      <c r="F422" s="41"/>
      <c r="Q422" s="24"/>
      <c r="R422" s="24"/>
    </row>
    <row r="423" ht="15.75" customHeight="1">
      <c r="F423" s="41"/>
      <c r="Q423" s="24"/>
      <c r="R423" s="24"/>
    </row>
    <row r="424" ht="15.75" customHeight="1">
      <c r="F424" s="41"/>
      <c r="Q424" s="24"/>
      <c r="R424" s="24"/>
    </row>
    <row r="425" ht="15.75" customHeight="1">
      <c r="F425" s="41"/>
      <c r="Q425" s="24"/>
      <c r="R425" s="24"/>
    </row>
    <row r="426" ht="15.75" customHeight="1">
      <c r="F426" s="41"/>
      <c r="Q426" s="24"/>
      <c r="R426" s="24"/>
    </row>
    <row r="427" ht="15.75" customHeight="1">
      <c r="F427" s="41"/>
      <c r="Q427" s="24"/>
      <c r="R427" s="24"/>
    </row>
    <row r="428" ht="15.75" customHeight="1">
      <c r="F428" s="41"/>
      <c r="Q428" s="24"/>
      <c r="R428" s="24"/>
    </row>
    <row r="429" ht="15.75" customHeight="1">
      <c r="F429" s="41"/>
      <c r="Q429" s="24"/>
      <c r="R429" s="24"/>
    </row>
    <row r="430" ht="15.75" customHeight="1">
      <c r="F430" s="41"/>
      <c r="Q430" s="24"/>
      <c r="R430" s="24"/>
    </row>
    <row r="431" ht="15.75" customHeight="1">
      <c r="F431" s="41"/>
      <c r="Q431" s="24"/>
      <c r="R431" s="24"/>
    </row>
    <row r="432" ht="15.75" customHeight="1">
      <c r="F432" s="41"/>
      <c r="Q432" s="24"/>
      <c r="R432" s="24"/>
    </row>
    <row r="433" ht="15.75" customHeight="1">
      <c r="F433" s="41"/>
      <c r="Q433" s="24"/>
      <c r="R433" s="24"/>
    </row>
    <row r="434" ht="15.75" customHeight="1">
      <c r="F434" s="41"/>
      <c r="Q434" s="24"/>
      <c r="R434" s="24"/>
    </row>
    <row r="435" ht="15.75" customHeight="1">
      <c r="F435" s="41"/>
      <c r="Q435" s="24"/>
      <c r="R435" s="24"/>
    </row>
    <row r="436" ht="15.75" customHeight="1">
      <c r="F436" s="41"/>
      <c r="Q436" s="24"/>
      <c r="R436" s="24"/>
    </row>
    <row r="437" ht="15.75" customHeight="1">
      <c r="F437" s="41"/>
      <c r="Q437" s="24"/>
      <c r="R437" s="24"/>
    </row>
    <row r="438" ht="15.75" customHeight="1">
      <c r="F438" s="41"/>
      <c r="Q438" s="24"/>
      <c r="R438" s="24"/>
    </row>
    <row r="439" ht="15.75" customHeight="1">
      <c r="F439" s="41"/>
      <c r="Q439" s="24"/>
      <c r="R439" s="24"/>
    </row>
    <row r="440" ht="15.75" customHeight="1">
      <c r="F440" s="41"/>
      <c r="Q440" s="24"/>
      <c r="R440" s="24"/>
    </row>
    <row r="441" ht="15.75" customHeight="1">
      <c r="F441" s="41"/>
      <c r="Q441" s="24"/>
      <c r="R441" s="24"/>
    </row>
    <row r="442" ht="15.75" customHeight="1">
      <c r="F442" s="41"/>
      <c r="Q442" s="24"/>
      <c r="R442" s="24"/>
    </row>
    <row r="443" ht="15.75" customHeight="1">
      <c r="F443" s="41"/>
      <c r="Q443" s="24"/>
      <c r="R443" s="24"/>
    </row>
    <row r="444" ht="15.75" customHeight="1">
      <c r="F444" s="41"/>
      <c r="Q444" s="24"/>
      <c r="R444" s="24"/>
    </row>
    <row r="445" ht="15.75" customHeight="1">
      <c r="F445" s="41"/>
      <c r="Q445" s="24"/>
      <c r="R445" s="24"/>
    </row>
    <row r="446" ht="15.75" customHeight="1">
      <c r="F446" s="41"/>
      <c r="Q446" s="24"/>
      <c r="R446" s="24"/>
    </row>
    <row r="447" ht="15.75" customHeight="1">
      <c r="F447" s="41"/>
      <c r="Q447" s="24"/>
      <c r="R447" s="24"/>
    </row>
    <row r="448" ht="15.75" customHeight="1">
      <c r="F448" s="41"/>
      <c r="Q448" s="24"/>
      <c r="R448" s="24"/>
    </row>
    <row r="449" ht="15.75" customHeight="1">
      <c r="F449" s="41"/>
      <c r="Q449" s="24"/>
      <c r="R449" s="24"/>
    </row>
    <row r="450" ht="15.75" customHeight="1">
      <c r="F450" s="41"/>
      <c r="Q450" s="24"/>
      <c r="R450" s="24"/>
    </row>
    <row r="451" ht="15.75" customHeight="1">
      <c r="F451" s="41"/>
      <c r="Q451" s="24"/>
      <c r="R451" s="24"/>
    </row>
    <row r="452" ht="15.75" customHeight="1">
      <c r="F452" s="41"/>
      <c r="Q452" s="24"/>
      <c r="R452" s="24"/>
    </row>
    <row r="453" ht="15.75" customHeight="1">
      <c r="F453" s="41"/>
      <c r="Q453" s="24"/>
      <c r="R453" s="24"/>
    </row>
    <row r="454" ht="15.75" customHeight="1">
      <c r="F454" s="41"/>
      <c r="Q454" s="24"/>
      <c r="R454" s="24"/>
    </row>
    <row r="455" ht="15.75" customHeight="1">
      <c r="F455" s="41"/>
      <c r="Q455" s="24"/>
      <c r="R455" s="24"/>
    </row>
    <row r="456" ht="15.75" customHeight="1">
      <c r="F456" s="41"/>
      <c r="Q456" s="24"/>
      <c r="R456" s="24"/>
    </row>
    <row r="457" ht="15.75" customHeight="1">
      <c r="F457" s="41"/>
      <c r="Q457" s="24"/>
      <c r="R457" s="24"/>
    </row>
    <row r="458" ht="15.75" customHeight="1">
      <c r="F458" s="41"/>
      <c r="Q458" s="24"/>
      <c r="R458" s="24"/>
    </row>
    <row r="459" ht="15.75" customHeight="1">
      <c r="F459" s="41"/>
      <c r="Q459" s="24"/>
      <c r="R459" s="24"/>
    </row>
    <row r="460" ht="15.75" customHeight="1">
      <c r="F460" s="41"/>
      <c r="Q460" s="24"/>
      <c r="R460" s="24"/>
    </row>
    <row r="461" ht="15.75" customHeight="1">
      <c r="F461" s="41"/>
      <c r="Q461" s="24"/>
      <c r="R461" s="24"/>
    </row>
    <row r="462" ht="15.75" customHeight="1">
      <c r="F462" s="41"/>
      <c r="Q462" s="24"/>
      <c r="R462" s="24"/>
    </row>
    <row r="463" ht="15.75" customHeight="1">
      <c r="F463" s="41"/>
      <c r="Q463" s="24"/>
      <c r="R463" s="24"/>
    </row>
    <row r="464" ht="15.75" customHeight="1">
      <c r="F464" s="41"/>
      <c r="Q464" s="24"/>
      <c r="R464" s="24"/>
    </row>
    <row r="465" ht="15.75" customHeight="1">
      <c r="F465" s="41"/>
      <c r="Q465" s="24"/>
      <c r="R465" s="24"/>
    </row>
    <row r="466" ht="15.75" customHeight="1">
      <c r="F466" s="41"/>
      <c r="Q466" s="24"/>
      <c r="R466" s="24"/>
    </row>
    <row r="467" ht="15.75" customHeight="1">
      <c r="F467" s="41"/>
      <c r="Q467" s="24"/>
      <c r="R467" s="24"/>
    </row>
    <row r="468" ht="15.75" customHeight="1">
      <c r="F468" s="41"/>
      <c r="Q468" s="24"/>
      <c r="R468" s="24"/>
    </row>
    <row r="469" ht="15.75" customHeight="1">
      <c r="F469" s="41"/>
      <c r="Q469" s="24"/>
      <c r="R469" s="24"/>
    </row>
    <row r="470" ht="15.75" customHeight="1">
      <c r="F470" s="41"/>
      <c r="Q470" s="24"/>
      <c r="R470" s="24"/>
    </row>
    <row r="471" ht="15.75" customHeight="1">
      <c r="F471" s="41"/>
      <c r="Q471" s="24"/>
      <c r="R471" s="24"/>
    </row>
    <row r="472" ht="15.75" customHeight="1">
      <c r="F472" s="41"/>
      <c r="Q472" s="24"/>
      <c r="R472" s="24"/>
    </row>
    <row r="473" ht="15.75" customHeight="1">
      <c r="F473" s="41"/>
      <c r="Q473" s="24"/>
      <c r="R473" s="24"/>
    </row>
    <row r="474" ht="15.75" customHeight="1">
      <c r="F474" s="41"/>
      <c r="Q474" s="24"/>
      <c r="R474" s="24"/>
    </row>
    <row r="475" ht="15.75" customHeight="1">
      <c r="F475" s="41"/>
      <c r="Q475" s="24"/>
      <c r="R475" s="24"/>
    </row>
    <row r="476" ht="15.75" customHeight="1">
      <c r="F476" s="41"/>
      <c r="Q476" s="24"/>
      <c r="R476" s="24"/>
    </row>
    <row r="477" ht="15.75" customHeight="1">
      <c r="F477" s="41"/>
      <c r="Q477" s="24"/>
      <c r="R477" s="24"/>
    </row>
    <row r="478" ht="15.75" customHeight="1">
      <c r="F478" s="41"/>
      <c r="Q478" s="24"/>
      <c r="R478" s="24"/>
    </row>
    <row r="479" ht="15.75" customHeight="1">
      <c r="F479" s="41"/>
      <c r="Q479" s="24"/>
      <c r="R479" s="24"/>
    </row>
    <row r="480" ht="15.75" customHeight="1">
      <c r="F480" s="41"/>
      <c r="Q480" s="24"/>
      <c r="R480" s="24"/>
    </row>
    <row r="481" ht="15.75" customHeight="1">
      <c r="F481" s="41"/>
      <c r="Q481" s="24"/>
      <c r="R481" s="24"/>
    </row>
    <row r="482" ht="15.75" customHeight="1">
      <c r="F482" s="41"/>
      <c r="Q482" s="24"/>
      <c r="R482" s="24"/>
    </row>
    <row r="483" ht="15.75" customHeight="1">
      <c r="F483" s="41"/>
      <c r="Q483" s="24"/>
      <c r="R483" s="24"/>
    </row>
    <row r="484" ht="15.75" customHeight="1">
      <c r="F484" s="41"/>
      <c r="Q484" s="24"/>
      <c r="R484" s="24"/>
    </row>
    <row r="485" ht="15.75" customHeight="1">
      <c r="F485" s="41"/>
      <c r="Q485" s="24"/>
      <c r="R485" s="24"/>
    </row>
    <row r="486" ht="15.75" customHeight="1">
      <c r="F486" s="41"/>
      <c r="Q486" s="24"/>
      <c r="R486" s="24"/>
    </row>
    <row r="487" ht="15.75" customHeight="1">
      <c r="F487" s="41"/>
      <c r="Q487" s="24"/>
      <c r="R487" s="24"/>
    </row>
    <row r="488" ht="15.75" customHeight="1">
      <c r="F488" s="41"/>
      <c r="Q488" s="24"/>
      <c r="R488" s="24"/>
    </row>
    <row r="489" ht="15.75" customHeight="1">
      <c r="F489" s="41"/>
      <c r="Q489" s="24"/>
      <c r="R489" s="24"/>
    </row>
    <row r="490" ht="15.75" customHeight="1">
      <c r="F490" s="41"/>
      <c r="Q490" s="24"/>
      <c r="R490" s="24"/>
    </row>
    <row r="491" ht="15.75" customHeight="1">
      <c r="F491" s="41"/>
      <c r="Q491" s="24"/>
      <c r="R491" s="24"/>
    </row>
    <row r="492" ht="15.75" customHeight="1">
      <c r="F492" s="41"/>
      <c r="Q492" s="24"/>
      <c r="R492" s="24"/>
    </row>
    <row r="493" ht="15.75" customHeight="1">
      <c r="F493" s="41"/>
      <c r="Q493" s="24"/>
      <c r="R493" s="24"/>
    </row>
    <row r="494" ht="15.75" customHeight="1">
      <c r="F494" s="41"/>
      <c r="Q494" s="24"/>
      <c r="R494" s="24"/>
    </row>
    <row r="495" ht="15.75" customHeight="1">
      <c r="F495" s="41"/>
      <c r="Q495" s="24"/>
      <c r="R495" s="24"/>
    </row>
    <row r="496" ht="15.75" customHeight="1">
      <c r="F496" s="41"/>
      <c r="Q496" s="24"/>
      <c r="R496" s="24"/>
    </row>
    <row r="497" ht="15.75" customHeight="1">
      <c r="F497" s="41"/>
      <c r="Q497" s="24"/>
      <c r="R497" s="24"/>
    </row>
    <row r="498" ht="15.75" customHeight="1">
      <c r="F498" s="41"/>
      <c r="Q498" s="24"/>
      <c r="R498" s="24"/>
    </row>
    <row r="499" ht="15.75" customHeight="1">
      <c r="F499" s="41"/>
      <c r="Q499" s="24"/>
      <c r="R499" s="24"/>
    </row>
    <row r="500" ht="15.75" customHeight="1">
      <c r="F500" s="41"/>
      <c r="Q500" s="24"/>
      <c r="R500" s="24"/>
    </row>
    <row r="501" ht="15.75" customHeight="1">
      <c r="F501" s="41"/>
      <c r="Q501" s="24"/>
      <c r="R501" s="24"/>
    </row>
    <row r="502" ht="15.75" customHeight="1">
      <c r="F502" s="41"/>
      <c r="Q502" s="24"/>
      <c r="R502" s="24"/>
    </row>
    <row r="503" ht="15.75" customHeight="1">
      <c r="F503" s="41"/>
      <c r="Q503" s="24"/>
      <c r="R503" s="24"/>
    </row>
    <row r="504" ht="15.75" customHeight="1">
      <c r="F504" s="41"/>
      <c r="Q504" s="24"/>
      <c r="R504" s="24"/>
    </row>
    <row r="505" ht="15.75" customHeight="1">
      <c r="F505" s="41"/>
      <c r="Q505" s="24"/>
      <c r="R505" s="24"/>
    </row>
    <row r="506" ht="15.75" customHeight="1">
      <c r="F506" s="41"/>
      <c r="Q506" s="24"/>
      <c r="R506" s="24"/>
    </row>
    <row r="507" ht="15.75" customHeight="1">
      <c r="F507" s="41"/>
      <c r="Q507" s="24"/>
      <c r="R507" s="24"/>
    </row>
    <row r="508" ht="15.75" customHeight="1">
      <c r="F508" s="41"/>
      <c r="Q508" s="24"/>
      <c r="R508" s="24"/>
    </row>
    <row r="509" ht="15.75" customHeight="1">
      <c r="F509" s="41"/>
      <c r="Q509" s="24"/>
      <c r="R509" s="24"/>
    </row>
    <row r="510" ht="15.75" customHeight="1">
      <c r="F510" s="41"/>
      <c r="Q510" s="24"/>
      <c r="R510" s="24"/>
    </row>
    <row r="511" ht="15.75" customHeight="1">
      <c r="F511" s="41"/>
      <c r="Q511" s="24"/>
      <c r="R511" s="24"/>
    </row>
    <row r="512" ht="15.75" customHeight="1">
      <c r="F512" s="41"/>
      <c r="Q512" s="24"/>
      <c r="R512" s="24"/>
    </row>
    <row r="513" ht="15.75" customHeight="1">
      <c r="F513" s="41"/>
      <c r="Q513" s="24"/>
      <c r="R513" s="24"/>
    </row>
    <row r="514" ht="15.75" customHeight="1">
      <c r="F514" s="41"/>
      <c r="Q514" s="24"/>
      <c r="R514" s="24"/>
    </row>
    <row r="515" ht="15.75" customHeight="1">
      <c r="F515" s="41"/>
      <c r="Q515" s="24"/>
      <c r="R515" s="24"/>
    </row>
    <row r="516" ht="15.75" customHeight="1">
      <c r="F516" s="41"/>
      <c r="Q516" s="24"/>
      <c r="R516" s="24"/>
    </row>
    <row r="517" ht="15.75" customHeight="1">
      <c r="F517" s="41"/>
      <c r="Q517" s="24"/>
      <c r="R517" s="24"/>
    </row>
    <row r="518" ht="15.75" customHeight="1">
      <c r="F518" s="41"/>
      <c r="Q518" s="24"/>
      <c r="R518" s="24"/>
    </row>
    <row r="519" ht="15.75" customHeight="1">
      <c r="F519" s="41"/>
      <c r="Q519" s="24"/>
      <c r="R519" s="24"/>
    </row>
    <row r="520" ht="15.75" customHeight="1">
      <c r="F520" s="41"/>
      <c r="Q520" s="24"/>
      <c r="R520" s="24"/>
    </row>
    <row r="521" ht="15.75" customHeight="1">
      <c r="F521" s="41"/>
      <c r="Q521" s="24"/>
      <c r="R521" s="24"/>
    </row>
    <row r="522" ht="15.75" customHeight="1">
      <c r="F522" s="41"/>
      <c r="Q522" s="24"/>
      <c r="R522" s="24"/>
    </row>
    <row r="523" ht="15.75" customHeight="1">
      <c r="F523" s="41"/>
      <c r="Q523" s="24"/>
      <c r="R523" s="24"/>
    </row>
    <row r="524" ht="15.75" customHeight="1">
      <c r="F524" s="41"/>
      <c r="Q524" s="24"/>
      <c r="R524" s="24"/>
    </row>
    <row r="525" ht="15.75" customHeight="1">
      <c r="F525" s="41"/>
      <c r="Q525" s="24"/>
      <c r="R525" s="24"/>
    </row>
    <row r="526" ht="15.75" customHeight="1">
      <c r="F526" s="41"/>
      <c r="Q526" s="24"/>
      <c r="R526" s="24"/>
    </row>
    <row r="527" ht="15.75" customHeight="1">
      <c r="F527" s="41"/>
      <c r="Q527" s="24"/>
      <c r="R527" s="24"/>
    </row>
    <row r="528" ht="15.75" customHeight="1">
      <c r="F528" s="41"/>
      <c r="Q528" s="24"/>
      <c r="R528" s="24"/>
    </row>
    <row r="529" ht="15.75" customHeight="1">
      <c r="F529" s="41"/>
      <c r="Q529" s="24"/>
      <c r="R529" s="24"/>
    </row>
    <row r="530" ht="15.75" customHeight="1">
      <c r="F530" s="41"/>
      <c r="Q530" s="24"/>
      <c r="R530" s="24"/>
    </row>
    <row r="531" ht="15.75" customHeight="1">
      <c r="F531" s="41"/>
      <c r="Q531" s="24"/>
      <c r="R531" s="24"/>
    </row>
    <row r="532" ht="15.75" customHeight="1">
      <c r="F532" s="41"/>
      <c r="Q532" s="24"/>
      <c r="R532" s="24"/>
    </row>
    <row r="533" ht="15.75" customHeight="1">
      <c r="F533" s="41"/>
      <c r="Q533" s="24"/>
      <c r="R533" s="24"/>
    </row>
    <row r="534" ht="15.75" customHeight="1">
      <c r="F534" s="41"/>
      <c r="Q534" s="24"/>
      <c r="R534" s="24"/>
    </row>
    <row r="535" ht="15.75" customHeight="1">
      <c r="F535" s="41"/>
      <c r="Q535" s="24"/>
      <c r="R535" s="24"/>
    </row>
    <row r="536" ht="15.75" customHeight="1">
      <c r="F536" s="41"/>
      <c r="Q536" s="24"/>
      <c r="R536" s="24"/>
    </row>
    <row r="537" ht="15.75" customHeight="1">
      <c r="F537" s="41"/>
      <c r="Q537" s="24"/>
      <c r="R537" s="24"/>
    </row>
    <row r="538" ht="15.75" customHeight="1">
      <c r="F538" s="41"/>
      <c r="Q538" s="24"/>
      <c r="R538" s="24"/>
    </row>
    <row r="539" ht="15.75" customHeight="1">
      <c r="F539" s="41"/>
      <c r="Q539" s="24"/>
      <c r="R539" s="24"/>
    </row>
    <row r="540" ht="15.75" customHeight="1">
      <c r="F540" s="41"/>
      <c r="Q540" s="24"/>
      <c r="R540" s="24"/>
    </row>
    <row r="541" ht="15.75" customHeight="1">
      <c r="F541" s="41"/>
      <c r="Q541" s="24"/>
      <c r="R541" s="24"/>
    </row>
    <row r="542" ht="15.75" customHeight="1">
      <c r="F542" s="41"/>
      <c r="Q542" s="24"/>
      <c r="R542" s="24"/>
    </row>
    <row r="543" ht="15.75" customHeight="1">
      <c r="F543" s="41"/>
      <c r="Q543" s="24"/>
      <c r="R543" s="24"/>
    </row>
    <row r="544" ht="15.75" customHeight="1">
      <c r="F544" s="41"/>
      <c r="Q544" s="24"/>
      <c r="R544" s="24"/>
    </row>
    <row r="545" ht="15.75" customHeight="1">
      <c r="F545" s="41"/>
      <c r="Q545" s="24"/>
      <c r="R545" s="24"/>
    </row>
    <row r="546" ht="15.75" customHeight="1">
      <c r="F546" s="41"/>
      <c r="Q546" s="24"/>
      <c r="R546" s="24"/>
    </row>
    <row r="547" ht="15.75" customHeight="1">
      <c r="F547" s="41"/>
      <c r="Q547" s="24"/>
      <c r="R547" s="24"/>
    </row>
    <row r="548" ht="15.75" customHeight="1">
      <c r="F548" s="41"/>
      <c r="Q548" s="24"/>
      <c r="R548" s="24"/>
    </row>
    <row r="549" ht="15.75" customHeight="1">
      <c r="F549" s="41"/>
      <c r="Q549" s="24"/>
      <c r="R549" s="24"/>
    </row>
    <row r="550" ht="15.75" customHeight="1">
      <c r="F550" s="41"/>
      <c r="Q550" s="24"/>
      <c r="R550" s="24"/>
    </row>
    <row r="551" ht="15.75" customHeight="1">
      <c r="F551" s="41"/>
      <c r="Q551" s="24"/>
      <c r="R551" s="24"/>
    </row>
    <row r="552" ht="15.75" customHeight="1">
      <c r="F552" s="41"/>
      <c r="Q552" s="24"/>
      <c r="R552" s="24"/>
    </row>
    <row r="553" ht="15.75" customHeight="1">
      <c r="F553" s="41"/>
      <c r="Q553" s="24"/>
      <c r="R553" s="24"/>
    </row>
    <row r="554" ht="15.75" customHeight="1">
      <c r="F554" s="41"/>
      <c r="Q554" s="24"/>
      <c r="R554" s="24"/>
    </row>
    <row r="555" ht="15.75" customHeight="1">
      <c r="F555" s="41"/>
      <c r="Q555" s="24"/>
      <c r="R555" s="24"/>
    </row>
    <row r="556" ht="15.75" customHeight="1">
      <c r="F556" s="41"/>
      <c r="Q556" s="24"/>
      <c r="R556" s="24"/>
    </row>
    <row r="557" ht="15.75" customHeight="1">
      <c r="F557" s="41"/>
      <c r="Q557" s="24"/>
      <c r="R557" s="24"/>
    </row>
    <row r="558" ht="15.75" customHeight="1">
      <c r="F558" s="41"/>
      <c r="Q558" s="24"/>
      <c r="R558" s="24"/>
    </row>
    <row r="559" ht="15.75" customHeight="1">
      <c r="F559" s="41"/>
      <c r="Q559" s="24"/>
      <c r="R559" s="24"/>
    </row>
    <row r="560" ht="15.75" customHeight="1">
      <c r="F560" s="41"/>
      <c r="Q560" s="24"/>
      <c r="R560" s="24"/>
    </row>
    <row r="561" ht="15.75" customHeight="1">
      <c r="F561" s="41"/>
      <c r="Q561" s="24"/>
      <c r="R561" s="24"/>
    </row>
    <row r="562" ht="15.75" customHeight="1">
      <c r="F562" s="41"/>
      <c r="Q562" s="24"/>
      <c r="R562" s="24"/>
    </row>
    <row r="563" ht="15.75" customHeight="1">
      <c r="F563" s="41"/>
      <c r="Q563" s="24"/>
      <c r="R563" s="24"/>
    </row>
    <row r="564" ht="15.75" customHeight="1">
      <c r="F564" s="41"/>
      <c r="Q564" s="24"/>
      <c r="R564" s="24"/>
    </row>
    <row r="565" ht="15.75" customHeight="1">
      <c r="F565" s="41"/>
      <c r="Q565" s="24"/>
      <c r="R565" s="24"/>
    </row>
    <row r="566" ht="15.75" customHeight="1">
      <c r="F566" s="41"/>
      <c r="Q566" s="24"/>
      <c r="R566" s="24"/>
    </row>
    <row r="567" ht="15.75" customHeight="1">
      <c r="F567" s="41"/>
      <c r="Q567" s="24"/>
      <c r="R567" s="24"/>
    </row>
    <row r="568" ht="15.75" customHeight="1">
      <c r="F568" s="41"/>
      <c r="Q568" s="24"/>
      <c r="R568" s="24"/>
    </row>
    <row r="569" ht="15.75" customHeight="1">
      <c r="F569" s="41"/>
      <c r="Q569" s="24"/>
      <c r="R569" s="24"/>
    </row>
    <row r="570" ht="15.75" customHeight="1">
      <c r="F570" s="41"/>
      <c r="Q570" s="24"/>
      <c r="R570" s="24"/>
    </row>
    <row r="571" ht="15.75" customHeight="1">
      <c r="F571" s="41"/>
      <c r="Q571" s="24"/>
      <c r="R571" s="24"/>
    </row>
    <row r="572" ht="15.75" customHeight="1">
      <c r="F572" s="41"/>
      <c r="Q572" s="24"/>
      <c r="R572" s="24"/>
    </row>
    <row r="573" ht="15.75" customHeight="1">
      <c r="F573" s="41"/>
      <c r="Q573" s="24"/>
      <c r="R573" s="24"/>
    </row>
    <row r="574" ht="15.75" customHeight="1">
      <c r="F574" s="41"/>
      <c r="Q574" s="24"/>
      <c r="R574" s="24"/>
    </row>
    <row r="575" ht="15.75" customHeight="1">
      <c r="F575" s="41"/>
      <c r="Q575" s="24"/>
      <c r="R575" s="24"/>
    </row>
    <row r="576" ht="15.75" customHeight="1">
      <c r="F576" s="41"/>
      <c r="Q576" s="24"/>
      <c r="R576" s="24"/>
    </row>
    <row r="577" ht="15.75" customHeight="1">
      <c r="F577" s="41"/>
      <c r="Q577" s="24"/>
      <c r="R577" s="24"/>
    </row>
    <row r="578" ht="15.75" customHeight="1">
      <c r="F578" s="41"/>
      <c r="Q578" s="24"/>
      <c r="R578" s="24"/>
    </row>
    <row r="579" ht="15.75" customHeight="1">
      <c r="F579" s="41"/>
      <c r="Q579" s="24"/>
      <c r="R579" s="24"/>
    </row>
    <row r="580" ht="15.75" customHeight="1">
      <c r="F580" s="41"/>
      <c r="Q580" s="24"/>
      <c r="R580" s="24"/>
    </row>
    <row r="581" ht="15.75" customHeight="1">
      <c r="F581" s="41"/>
      <c r="Q581" s="24"/>
      <c r="R581" s="24"/>
    </row>
    <row r="582" ht="15.75" customHeight="1">
      <c r="F582" s="41"/>
      <c r="Q582" s="24"/>
      <c r="R582" s="24"/>
    </row>
    <row r="583" ht="15.75" customHeight="1">
      <c r="F583" s="41"/>
      <c r="Q583" s="24"/>
      <c r="R583" s="24"/>
    </row>
    <row r="584" ht="15.75" customHeight="1">
      <c r="F584" s="41"/>
      <c r="Q584" s="24"/>
      <c r="R584" s="24"/>
    </row>
    <row r="585" ht="15.75" customHeight="1">
      <c r="F585" s="41"/>
      <c r="Q585" s="24"/>
      <c r="R585" s="24"/>
    </row>
    <row r="586" ht="15.75" customHeight="1">
      <c r="F586" s="41"/>
      <c r="Q586" s="24"/>
      <c r="R586" s="24"/>
    </row>
    <row r="587" ht="15.75" customHeight="1">
      <c r="F587" s="41"/>
      <c r="Q587" s="24"/>
      <c r="R587" s="24"/>
    </row>
    <row r="588" ht="15.75" customHeight="1">
      <c r="F588" s="41"/>
      <c r="Q588" s="24"/>
      <c r="R588" s="24"/>
    </row>
    <row r="589" ht="15.75" customHeight="1">
      <c r="F589" s="41"/>
      <c r="Q589" s="24"/>
      <c r="R589" s="24"/>
    </row>
    <row r="590" ht="15.75" customHeight="1">
      <c r="F590" s="41"/>
      <c r="Q590" s="24"/>
      <c r="R590" s="24"/>
    </row>
    <row r="591" ht="15.75" customHeight="1">
      <c r="F591" s="41"/>
      <c r="Q591" s="24"/>
      <c r="R591" s="24"/>
    </row>
    <row r="592" ht="15.75" customHeight="1">
      <c r="F592" s="41"/>
      <c r="Q592" s="24"/>
      <c r="R592" s="24"/>
    </row>
    <row r="593" ht="15.75" customHeight="1">
      <c r="F593" s="41"/>
      <c r="Q593" s="24"/>
      <c r="R593" s="24"/>
    </row>
    <row r="594" ht="15.75" customHeight="1">
      <c r="F594" s="41"/>
      <c r="Q594" s="24"/>
      <c r="R594" s="24"/>
    </row>
    <row r="595" ht="15.75" customHeight="1">
      <c r="F595" s="41"/>
      <c r="Q595" s="24"/>
      <c r="R595" s="24"/>
    </row>
    <row r="596" ht="15.75" customHeight="1">
      <c r="F596" s="41"/>
      <c r="Q596" s="24"/>
      <c r="R596" s="24"/>
    </row>
    <row r="597" ht="15.75" customHeight="1">
      <c r="F597" s="41"/>
      <c r="Q597" s="24"/>
      <c r="R597" s="24"/>
    </row>
    <row r="598" ht="15.75" customHeight="1">
      <c r="F598" s="41"/>
      <c r="Q598" s="24"/>
      <c r="R598" s="24"/>
    </row>
    <row r="599" ht="15.75" customHeight="1">
      <c r="F599" s="41"/>
      <c r="Q599" s="24"/>
      <c r="R599" s="24"/>
    </row>
    <row r="600" ht="15.75" customHeight="1">
      <c r="F600" s="41"/>
      <c r="Q600" s="24"/>
      <c r="R600" s="24"/>
    </row>
    <row r="601" ht="15.75" customHeight="1">
      <c r="F601" s="41"/>
      <c r="Q601" s="24"/>
      <c r="R601" s="24"/>
    </row>
    <row r="602" ht="15.75" customHeight="1">
      <c r="F602" s="41"/>
      <c r="Q602" s="24"/>
      <c r="R602" s="24"/>
    </row>
    <row r="603" ht="15.75" customHeight="1">
      <c r="F603" s="41"/>
      <c r="Q603" s="24"/>
      <c r="R603" s="24"/>
    </row>
    <row r="604" ht="15.75" customHeight="1">
      <c r="F604" s="41"/>
      <c r="Q604" s="24"/>
      <c r="R604" s="24"/>
    </row>
    <row r="605" ht="15.75" customHeight="1">
      <c r="F605" s="41"/>
      <c r="Q605" s="24"/>
      <c r="R605" s="24"/>
    </row>
    <row r="606" ht="15.75" customHeight="1">
      <c r="F606" s="41"/>
      <c r="Q606" s="24"/>
      <c r="R606" s="24"/>
    </row>
    <row r="607" ht="15.75" customHeight="1">
      <c r="F607" s="41"/>
      <c r="Q607" s="24"/>
      <c r="R607" s="24"/>
    </row>
    <row r="608" ht="15.75" customHeight="1">
      <c r="F608" s="41"/>
      <c r="Q608" s="24"/>
      <c r="R608" s="24"/>
    </row>
    <row r="609" ht="15.75" customHeight="1">
      <c r="F609" s="41"/>
      <c r="Q609" s="24"/>
      <c r="R609" s="24"/>
    </row>
    <row r="610" ht="15.75" customHeight="1">
      <c r="F610" s="41"/>
      <c r="Q610" s="24"/>
      <c r="R610" s="24"/>
    </row>
    <row r="611" ht="15.75" customHeight="1">
      <c r="F611" s="41"/>
      <c r="Q611" s="24"/>
      <c r="R611" s="24"/>
    </row>
    <row r="612" ht="15.75" customHeight="1">
      <c r="F612" s="41"/>
      <c r="Q612" s="24"/>
      <c r="R612" s="24"/>
    </row>
    <row r="613" ht="15.75" customHeight="1">
      <c r="F613" s="41"/>
      <c r="Q613" s="24"/>
      <c r="R613" s="24"/>
    </row>
    <row r="614" ht="15.75" customHeight="1">
      <c r="F614" s="41"/>
      <c r="Q614" s="24"/>
      <c r="R614" s="24"/>
    </row>
    <row r="615" ht="15.75" customHeight="1">
      <c r="F615" s="41"/>
      <c r="Q615" s="24"/>
      <c r="R615" s="24"/>
    </row>
    <row r="616" ht="15.75" customHeight="1">
      <c r="F616" s="41"/>
      <c r="Q616" s="24"/>
      <c r="R616" s="24"/>
    </row>
    <row r="617" ht="15.75" customHeight="1">
      <c r="F617" s="41"/>
      <c r="Q617" s="24"/>
      <c r="R617" s="24"/>
    </row>
    <row r="618" ht="15.75" customHeight="1">
      <c r="F618" s="41"/>
      <c r="Q618" s="24"/>
      <c r="R618" s="24"/>
    </row>
    <row r="619" ht="15.75" customHeight="1">
      <c r="F619" s="41"/>
      <c r="Q619" s="24"/>
      <c r="R619" s="24"/>
    </row>
    <row r="620" ht="15.75" customHeight="1">
      <c r="F620" s="41"/>
      <c r="Q620" s="24"/>
      <c r="R620" s="24"/>
    </row>
    <row r="621" ht="15.75" customHeight="1">
      <c r="F621" s="41"/>
      <c r="Q621" s="24"/>
      <c r="R621" s="24"/>
    </row>
    <row r="622" ht="15.75" customHeight="1">
      <c r="F622" s="41"/>
      <c r="Q622" s="24"/>
      <c r="R622" s="24"/>
    </row>
    <row r="623" ht="15.75" customHeight="1">
      <c r="F623" s="41"/>
      <c r="Q623" s="24"/>
      <c r="R623" s="24"/>
    </row>
    <row r="624" ht="15.75" customHeight="1">
      <c r="F624" s="41"/>
      <c r="Q624" s="24"/>
      <c r="R624" s="24"/>
    </row>
    <row r="625" ht="15.75" customHeight="1">
      <c r="F625" s="41"/>
      <c r="Q625" s="24"/>
      <c r="R625" s="24"/>
    </row>
    <row r="626" ht="15.75" customHeight="1">
      <c r="F626" s="41"/>
      <c r="Q626" s="24"/>
      <c r="R626" s="24"/>
    </row>
    <row r="627" ht="15.75" customHeight="1">
      <c r="F627" s="41"/>
      <c r="Q627" s="24"/>
      <c r="R627" s="24"/>
    </row>
    <row r="628" ht="15.75" customHeight="1">
      <c r="F628" s="41"/>
      <c r="Q628" s="24"/>
      <c r="R628" s="24"/>
    </row>
    <row r="629" ht="15.75" customHeight="1">
      <c r="F629" s="41"/>
      <c r="Q629" s="24"/>
      <c r="R629" s="24"/>
    </row>
    <row r="630" ht="15.75" customHeight="1">
      <c r="F630" s="41"/>
      <c r="Q630" s="24"/>
      <c r="R630" s="24"/>
    </row>
    <row r="631" ht="15.75" customHeight="1">
      <c r="F631" s="41"/>
      <c r="Q631" s="24"/>
      <c r="R631" s="24"/>
    </row>
    <row r="632" ht="15.75" customHeight="1">
      <c r="F632" s="41"/>
      <c r="Q632" s="24"/>
      <c r="R632" s="24"/>
    </row>
    <row r="633" ht="15.75" customHeight="1">
      <c r="F633" s="41"/>
      <c r="Q633" s="24"/>
      <c r="R633" s="24"/>
    </row>
    <row r="634" ht="15.75" customHeight="1">
      <c r="F634" s="41"/>
      <c r="Q634" s="24"/>
      <c r="R634" s="24"/>
    </row>
    <row r="635" ht="15.75" customHeight="1">
      <c r="F635" s="41"/>
      <c r="Q635" s="24"/>
      <c r="R635" s="24"/>
    </row>
    <row r="636" ht="15.75" customHeight="1">
      <c r="F636" s="41"/>
      <c r="Q636" s="24"/>
      <c r="R636" s="24"/>
    </row>
    <row r="637" ht="15.75" customHeight="1">
      <c r="F637" s="41"/>
      <c r="Q637" s="24"/>
      <c r="R637" s="24"/>
    </row>
    <row r="638" ht="15.75" customHeight="1">
      <c r="F638" s="41"/>
      <c r="Q638" s="24"/>
      <c r="R638" s="24"/>
    </row>
    <row r="639" ht="15.75" customHeight="1">
      <c r="F639" s="41"/>
      <c r="Q639" s="24"/>
      <c r="R639" s="24"/>
    </row>
    <row r="640" ht="15.75" customHeight="1">
      <c r="F640" s="41"/>
      <c r="Q640" s="24"/>
      <c r="R640" s="24"/>
    </row>
    <row r="641" ht="15.75" customHeight="1">
      <c r="F641" s="41"/>
      <c r="Q641" s="24"/>
      <c r="R641" s="24"/>
    </row>
    <row r="642" ht="15.75" customHeight="1">
      <c r="F642" s="41"/>
      <c r="Q642" s="24"/>
      <c r="R642" s="24"/>
    </row>
    <row r="643" ht="15.75" customHeight="1">
      <c r="F643" s="41"/>
      <c r="Q643" s="24"/>
      <c r="R643" s="24"/>
    </row>
    <row r="644" ht="15.75" customHeight="1">
      <c r="F644" s="41"/>
      <c r="Q644" s="24"/>
      <c r="R644" s="24"/>
    </row>
    <row r="645" ht="15.75" customHeight="1">
      <c r="F645" s="41"/>
      <c r="Q645" s="24"/>
      <c r="R645" s="24"/>
    </row>
    <row r="646" ht="15.75" customHeight="1">
      <c r="F646" s="41"/>
      <c r="Q646" s="24"/>
      <c r="R646" s="24"/>
    </row>
    <row r="647" ht="15.75" customHeight="1">
      <c r="F647" s="41"/>
      <c r="Q647" s="24"/>
      <c r="R647" s="24"/>
    </row>
    <row r="648" ht="15.75" customHeight="1">
      <c r="F648" s="41"/>
      <c r="Q648" s="24"/>
      <c r="R648" s="24"/>
    </row>
    <row r="649" ht="15.75" customHeight="1">
      <c r="F649" s="41"/>
      <c r="Q649" s="24"/>
      <c r="R649" s="24"/>
    </row>
    <row r="650" ht="15.75" customHeight="1">
      <c r="F650" s="41"/>
      <c r="Q650" s="24"/>
      <c r="R650" s="24"/>
    </row>
    <row r="651" ht="15.75" customHeight="1">
      <c r="F651" s="41"/>
      <c r="Q651" s="24"/>
      <c r="R651" s="24"/>
    </row>
    <row r="652" ht="15.75" customHeight="1">
      <c r="F652" s="41"/>
      <c r="Q652" s="24"/>
      <c r="R652" s="24"/>
    </row>
    <row r="653" ht="15.75" customHeight="1">
      <c r="F653" s="41"/>
      <c r="Q653" s="24"/>
      <c r="R653" s="24"/>
    </row>
    <row r="654" ht="15.75" customHeight="1">
      <c r="F654" s="41"/>
      <c r="Q654" s="24"/>
      <c r="R654" s="24"/>
    </row>
    <row r="655" ht="15.75" customHeight="1">
      <c r="F655" s="41"/>
      <c r="Q655" s="24"/>
      <c r="R655" s="24"/>
    </row>
    <row r="656" ht="15.75" customHeight="1">
      <c r="F656" s="41"/>
      <c r="Q656" s="24"/>
      <c r="R656" s="24"/>
    </row>
    <row r="657" ht="15.75" customHeight="1">
      <c r="F657" s="41"/>
      <c r="Q657" s="24"/>
      <c r="R657" s="24"/>
    </row>
    <row r="658" ht="15.75" customHeight="1">
      <c r="F658" s="41"/>
      <c r="Q658" s="24"/>
      <c r="R658" s="24"/>
    </row>
    <row r="659" ht="15.75" customHeight="1">
      <c r="F659" s="41"/>
      <c r="Q659" s="24"/>
      <c r="R659" s="24"/>
    </row>
    <row r="660" ht="15.75" customHeight="1">
      <c r="F660" s="41"/>
      <c r="Q660" s="24"/>
      <c r="R660" s="24"/>
    </row>
    <row r="661" ht="15.75" customHeight="1">
      <c r="F661" s="41"/>
      <c r="Q661" s="24"/>
      <c r="R661" s="24"/>
    </row>
    <row r="662" ht="15.75" customHeight="1">
      <c r="F662" s="41"/>
      <c r="Q662" s="24"/>
      <c r="R662" s="24"/>
    </row>
    <row r="663" ht="15.75" customHeight="1">
      <c r="F663" s="41"/>
      <c r="Q663" s="24"/>
      <c r="R663" s="24"/>
    </row>
    <row r="664" ht="15.75" customHeight="1">
      <c r="F664" s="41"/>
      <c r="Q664" s="24"/>
      <c r="R664" s="24"/>
    </row>
    <row r="665" ht="15.75" customHeight="1">
      <c r="F665" s="41"/>
      <c r="Q665" s="24"/>
      <c r="R665" s="24"/>
    </row>
    <row r="666" ht="15.75" customHeight="1">
      <c r="F666" s="41"/>
      <c r="Q666" s="24"/>
      <c r="R666" s="24"/>
    </row>
    <row r="667" ht="15.75" customHeight="1">
      <c r="F667" s="41"/>
      <c r="Q667" s="24"/>
      <c r="R667" s="24"/>
    </row>
    <row r="668" ht="15.75" customHeight="1">
      <c r="F668" s="41"/>
      <c r="Q668" s="24"/>
      <c r="R668" s="24"/>
    </row>
    <row r="669" ht="15.75" customHeight="1">
      <c r="F669" s="41"/>
      <c r="Q669" s="24"/>
      <c r="R669" s="24"/>
    </row>
    <row r="670" ht="15.75" customHeight="1">
      <c r="F670" s="41"/>
      <c r="Q670" s="24"/>
      <c r="R670" s="24"/>
    </row>
    <row r="671" ht="15.75" customHeight="1">
      <c r="F671" s="41"/>
      <c r="Q671" s="24"/>
      <c r="R671" s="24"/>
    </row>
    <row r="672" ht="15.75" customHeight="1">
      <c r="F672" s="41"/>
      <c r="Q672" s="24"/>
      <c r="R672" s="24"/>
    </row>
    <row r="673" ht="15.75" customHeight="1">
      <c r="F673" s="41"/>
      <c r="Q673" s="24"/>
      <c r="R673" s="24"/>
    </row>
    <row r="674" ht="15.75" customHeight="1">
      <c r="F674" s="41"/>
      <c r="Q674" s="24"/>
      <c r="R674" s="24"/>
    </row>
    <row r="675" ht="15.75" customHeight="1">
      <c r="F675" s="41"/>
      <c r="Q675" s="24"/>
      <c r="R675" s="24"/>
    </row>
    <row r="676" ht="15.75" customHeight="1">
      <c r="F676" s="41"/>
      <c r="Q676" s="24"/>
      <c r="R676" s="24"/>
    </row>
    <row r="677" ht="15.75" customHeight="1">
      <c r="F677" s="41"/>
      <c r="Q677" s="24"/>
      <c r="R677" s="24"/>
    </row>
    <row r="678" ht="15.75" customHeight="1">
      <c r="F678" s="41"/>
      <c r="Q678" s="24"/>
      <c r="R678" s="24"/>
    </row>
    <row r="679" ht="15.75" customHeight="1">
      <c r="F679" s="41"/>
      <c r="Q679" s="24"/>
      <c r="R679" s="24"/>
    </row>
    <row r="680" ht="15.75" customHeight="1">
      <c r="F680" s="41"/>
      <c r="Q680" s="24"/>
      <c r="R680" s="24"/>
    </row>
    <row r="681" ht="15.75" customHeight="1">
      <c r="F681" s="41"/>
      <c r="Q681" s="24"/>
      <c r="R681" s="24"/>
    </row>
    <row r="682" ht="15.75" customHeight="1">
      <c r="F682" s="41"/>
      <c r="Q682" s="24"/>
      <c r="R682" s="24"/>
    </row>
    <row r="683" ht="15.75" customHeight="1">
      <c r="F683" s="41"/>
      <c r="Q683" s="24"/>
      <c r="R683" s="24"/>
    </row>
    <row r="684" ht="15.75" customHeight="1">
      <c r="F684" s="41"/>
      <c r="Q684" s="24"/>
      <c r="R684" s="24"/>
    </row>
    <row r="685" ht="15.75" customHeight="1">
      <c r="F685" s="41"/>
      <c r="Q685" s="24"/>
      <c r="R685" s="24"/>
    </row>
    <row r="686" ht="15.75" customHeight="1">
      <c r="F686" s="41"/>
      <c r="Q686" s="24"/>
      <c r="R686" s="24"/>
    </row>
    <row r="687" ht="15.75" customHeight="1">
      <c r="F687" s="41"/>
      <c r="Q687" s="24"/>
      <c r="R687" s="24"/>
    </row>
    <row r="688" ht="15.75" customHeight="1">
      <c r="F688" s="41"/>
      <c r="Q688" s="24"/>
      <c r="R688" s="24"/>
    </row>
    <row r="689" ht="15.75" customHeight="1">
      <c r="F689" s="41"/>
      <c r="Q689" s="24"/>
      <c r="R689" s="24"/>
    </row>
    <row r="690" ht="15.75" customHeight="1">
      <c r="F690" s="41"/>
      <c r="Q690" s="24"/>
      <c r="R690" s="24"/>
    </row>
    <row r="691" ht="15.75" customHeight="1">
      <c r="F691" s="41"/>
      <c r="Q691" s="24"/>
      <c r="R691" s="24"/>
    </row>
    <row r="692" ht="15.75" customHeight="1">
      <c r="F692" s="41"/>
      <c r="Q692" s="24"/>
      <c r="R692" s="24"/>
    </row>
    <row r="693" ht="15.75" customHeight="1">
      <c r="F693" s="41"/>
      <c r="Q693" s="24"/>
      <c r="R693" s="24"/>
    </row>
    <row r="694" ht="15.75" customHeight="1">
      <c r="F694" s="41"/>
      <c r="Q694" s="24"/>
      <c r="R694" s="24"/>
    </row>
    <row r="695" ht="15.75" customHeight="1">
      <c r="F695" s="41"/>
      <c r="Q695" s="24"/>
      <c r="R695" s="24"/>
    </row>
    <row r="696" ht="15.75" customHeight="1">
      <c r="F696" s="41"/>
      <c r="Q696" s="24"/>
      <c r="R696" s="24"/>
    </row>
    <row r="697" ht="15.75" customHeight="1">
      <c r="F697" s="41"/>
      <c r="Q697" s="24"/>
      <c r="R697" s="24"/>
    </row>
    <row r="698" ht="15.75" customHeight="1">
      <c r="F698" s="41"/>
      <c r="Q698" s="24"/>
      <c r="R698" s="24"/>
    </row>
    <row r="699" ht="15.75" customHeight="1">
      <c r="F699" s="41"/>
      <c r="Q699" s="24"/>
      <c r="R699" s="24"/>
    </row>
    <row r="700" ht="15.75" customHeight="1">
      <c r="F700" s="41"/>
      <c r="Q700" s="24"/>
      <c r="R700" s="24"/>
    </row>
    <row r="701" ht="15.75" customHeight="1">
      <c r="F701" s="41"/>
      <c r="Q701" s="24"/>
      <c r="R701" s="24"/>
    </row>
    <row r="702" ht="15.75" customHeight="1">
      <c r="F702" s="41"/>
      <c r="Q702" s="24"/>
      <c r="R702" s="24"/>
    </row>
    <row r="703" ht="15.75" customHeight="1">
      <c r="F703" s="41"/>
      <c r="Q703" s="24"/>
      <c r="R703" s="24"/>
    </row>
    <row r="704" ht="15.75" customHeight="1">
      <c r="F704" s="41"/>
      <c r="Q704" s="24"/>
      <c r="R704" s="24"/>
    </row>
    <row r="705" ht="15.75" customHeight="1">
      <c r="F705" s="41"/>
      <c r="Q705" s="24"/>
      <c r="R705" s="24"/>
    </row>
    <row r="706" ht="15.75" customHeight="1">
      <c r="F706" s="41"/>
      <c r="Q706" s="24"/>
      <c r="R706" s="24"/>
    </row>
    <row r="707" ht="15.75" customHeight="1">
      <c r="F707" s="41"/>
      <c r="Q707" s="24"/>
      <c r="R707" s="24"/>
    </row>
    <row r="708" ht="15.75" customHeight="1">
      <c r="F708" s="41"/>
      <c r="Q708" s="24"/>
      <c r="R708" s="24"/>
    </row>
    <row r="709" ht="15.75" customHeight="1">
      <c r="F709" s="41"/>
      <c r="Q709" s="24"/>
      <c r="R709" s="24"/>
    </row>
    <row r="710" ht="15.75" customHeight="1">
      <c r="F710" s="41"/>
      <c r="Q710" s="24"/>
      <c r="R710" s="24"/>
    </row>
    <row r="711" ht="15.75" customHeight="1">
      <c r="F711" s="41"/>
      <c r="Q711" s="24"/>
      <c r="R711" s="24"/>
    </row>
    <row r="712" ht="15.75" customHeight="1">
      <c r="F712" s="41"/>
      <c r="Q712" s="24"/>
      <c r="R712" s="24"/>
    </row>
    <row r="713" ht="15.75" customHeight="1">
      <c r="F713" s="41"/>
      <c r="Q713" s="24"/>
      <c r="R713" s="24"/>
    </row>
    <row r="714" ht="15.75" customHeight="1">
      <c r="F714" s="41"/>
      <c r="Q714" s="24"/>
      <c r="R714" s="24"/>
    </row>
    <row r="715" ht="15.75" customHeight="1">
      <c r="F715" s="41"/>
      <c r="Q715" s="24"/>
      <c r="R715" s="24"/>
    </row>
    <row r="716" ht="15.75" customHeight="1">
      <c r="F716" s="41"/>
      <c r="Q716" s="24"/>
      <c r="R716" s="24"/>
    </row>
    <row r="717" ht="15.75" customHeight="1">
      <c r="F717" s="41"/>
      <c r="Q717" s="24"/>
      <c r="R717" s="24"/>
    </row>
    <row r="718" ht="15.75" customHeight="1">
      <c r="F718" s="41"/>
      <c r="Q718" s="24"/>
      <c r="R718" s="24"/>
    </row>
    <row r="719" ht="15.75" customHeight="1">
      <c r="F719" s="41"/>
      <c r="Q719" s="24"/>
      <c r="R719" s="24"/>
    </row>
    <row r="720" ht="15.75" customHeight="1">
      <c r="F720" s="41"/>
      <c r="Q720" s="24"/>
      <c r="R720" s="24"/>
    </row>
    <row r="721" ht="15.75" customHeight="1">
      <c r="F721" s="41"/>
      <c r="Q721" s="24"/>
      <c r="R721" s="24"/>
    </row>
    <row r="722" ht="15.75" customHeight="1">
      <c r="F722" s="41"/>
      <c r="Q722" s="24"/>
      <c r="R722" s="24"/>
    </row>
    <row r="723" ht="15.75" customHeight="1">
      <c r="F723" s="41"/>
      <c r="Q723" s="24"/>
      <c r="R723" s="24"/>
    </row>
    <row r="724" ht="15.75" customHeight="1">
      <c r="F724" s="41"/>
      <c r="Q724" s="24"/>
      <c r="R724" s="24"/>
    </row>
    <row r="725" ht="15.75" customHeight="1">
      <c r="F725" s="41"/>
      <c r="Q725" s="24"/>
      <c r="R725" s="24"/>
    </row>
    <row r="726" ht="15.75" customHeight="1">
      <c r="F726" s="41"/>
      <c r="Q726" s="24"/>
      <c r="R726" s="24"/>
    </row>
    <row r="727" ht="15.75" customHeight="1">
      <c r="F727" s="41"/>
      <c r="Q727" s="24"/>
      <c r="R727" s="24"/>
    </row>
    <row r="728" ht="15.75" customHeight="1">
      <c r="F728" s="41"/>
      <c r="Q728" s="24"/>
      <c r="R728" s="24"/>
    </row>
    <row r="729" ht="15.75" customHeight="1">
      <c r="F729" s="41"/>
      <c r="Q729" s="24"/>
      <c r="R729" s="24"/>
    </row>
    <row r="730" ht="15.75" customHeight="1">
      <c r="F730" s="41"/>
      <c r="Q730" s="24"/>
      <c r="R730" s="24"/>
    </row>
    <row r="731" ht="15.75" customHeight="1">
      <c r="F731" s="41"/>
      <c r="Q731" s="24"/>
      <c r="R731" s="24"/>
    </row>
    <row r="732" ht="15.75" customHeight="1">
      <c r="F732" s="41"/>
      <c r="Q732" s="24"/>
      <c r="R732" s="24"/>
    </row>
    <row r="733" ht="15.75" customHeight="1">
      <c r="F733" s="41"/>
      <c r="Q733" s="24"/>
      <c r="R733" s="24"/>
    </row>
    <row r="734" ht="15.75" customHeight="1">
      <c r="F734" s="41"/>
      <c r="Q734" s="24"/>
      <c r="R734" s="24"/>
    </row>
    <row r="735" ht="15.75" customHeight="1">
      <c r="F735" s="41"/>
      <c r="Q735" s="24"/>
      <c r="R735" s="24"/>
    </row>
    <row r="736" ht="15.75" customHeight="1">
      <c r="F736" s="41"/>
      <c r="Q736" s="24"/>
      <c r="R736" s="24"/>
    </row>
    <row r="737" ht="15.75" customHeight="1">
      <c r="F737" s="41"/>
      <c r="Q737" s="24"/>
      <c r="R737" s="24"/>
    </row>
    <row r="738" ht="15.75" customHeight="1">
      <c r="F738" s="41"/>
      <c r="Q738" s="24"/>
      <c r="R738" s="24"/>
    </row>
    <row r="739" ht="15.75" customHeight="1">
      <c r="F739" s="41"/>
      <c r="Q739" s="24"/>
      <c r="R739" s="24"/>
    </row>
    <row r="740" ht="15.75" customHeight="1">
      <c r="F740" s="41"/>
      <c r="Q740" s="24"/>
      <c r="R740" s="24"/>
    </row>
    <row r="741" ht="15.75" customHeight="1">
      <c r="F741" s="41"/>
      <c r="Q741" s="24"/>
      <c r="R741" s="24"/>
    </row>
    <row r="742" ht="15.75" customHeight="1">
      <c r="F742" s="41"/>
      <c r="Q742" s="24"/>
      <c r="R742" s="24"/>
    </row>
    <row r="743" ht="15.75" customHeight="1">
      <c r="F743" s="41"/>
      <c r="Q743" s="24"/>
      <c r="R743" s="24"/>
    </row>
    <row r="744" ht="15.75" customHeight="1">
      <c r="F744" s="41"/>
      <c r="Q744" s="24"/>
      <c r="R744" s="24"/>
    </row>
    <row r="745" ht="15.75" customHeight="1">
      <c r="F745" s="41"/>
      <c r="Q745" s="24"/>
      <c r="R745" s="24"/>
    </row>
    <row r="746" ht="15.75" customHeight="1">
      <c r="F746" s="41"/>
      <c r="Q746" s="24"/>
      <c r="R746" s="24"/>
    </row>
    <row r="747" ht="15.75" customHeight="1">
      <c r="F747" s="41"/>
      <c r="Q747" s="24"/>
      <c r="R747" s="24"/>
    </row>
    <row r="748" ht="15.75" customHeight="1">
      <c r="F748" s="41"/>
      <c r="Q748" s="24"/>
      <c r="R748" s="24"/>
    </row>
    <row r="749" ht="15.75" customHeight="1">
      <c r="F749" s="41"/>
      <c r="Q749" s="24"/>
      <c r="R749" s="24"/>
    </row>
    <row r="750" ht="15.75" customHeight="1">
      <c r="F750" s="41"/>
      <c r="Q750" s="24"/>
      <c r="R750" s="24"/>
    </row>
    <row r="751" ht="15.75" customHeight="1">
      <c r="F751" s="41"/>
      <c r="Q751" s="24"/>
      <c r="R751" s="24"/>
    </row>
    <row r="752" ht="15.75" customHeight="1">
      <c r="F752" s="41"/>
      <c r="Q752" s="24"/>
      <c r="R752" s="24"/>
    </row>
    <row r="753" ht="15.75" customHeight="1">
      <c r="F753" s="41"/>
      <c r="Q753" s="24"/>
      <c r="R753" s="24"/>
    </row>
    <row r="754" ht="15.75" customHeight="1">
      <c r="F754" s="41"/>
      <c r="Q754" s="24"/>
      <c r="R754" s="24"/>
    </row>
    <row r="755" ht="15.75" customHeight="1">
      <c r="F755" s="41"/>
      <c r="Q755" s="24"/>
      <c r="R755" s="24"/>
    </row>
    <row r="756" ht="15.75" customHeight="1">
      <c r="F756" s="41"/>
      <c r="Q756" s="24"/>
      <c r="R756" s="24"/>
    </row>
    <row r="757" ht="15.75" customHeight="1">
      <c r="F757" s="41"/>
      <c r="Q757" s="24"/>
      <c r="R757" s="24"/>
    </row>
    <row r="758" ht="15.75" customHeight="1">
      <c r="F758" s="41"/>
      <c r="Q758" s="24"/>
      <c r="R758" s="24"/>
    </row>
    <row r="759" ht="15.75" customHeight="1">
      <c r="F759" s="41"/>
      <c r="Q759" s="24"/>
      <c r="R759" s="24"/>
    </row>
    <row r="760" ht="15.75" customHeight="1">
      <c r="F760" s="41"/>
      <c r="Q760" s="24"/>
      <c r="R760" s="24"/>
    </row>
    <row r="761" ht="15.75" customHeight="1">
      <c r="F761" s="41"/>
      <c r="Q761" s="24"/>
      <c r="R761" s="24"/>
    </row>
    <row r="762" ht="15.75" customHeight="1">
      <c r="F762" s="41"/>
      <c r="Q762" s="24"/>
      <c r="R762" s="24"/>
    </row>
    <row r="763" ht="15.75" customHeight="1">
      <c r="F763" s="41"/>
      <c r="Q763" s="24"/>
      <c r="R763" s="24"/>
    </row>
    <row r="764" ht="15.75" customHeight="1">
      <c r="F764" s="41"/>
      <c r="Q764" s="24"/>
      <c r="R764" s="24"/>
    </row>
    <row r="765" ht="15.75" customHeight="1">
      <c r="F765" s="41"/>
      <c r="Q765" s="24"/>
      <c r="R765" s="24"/>
    </row>
    <row r="766" ht="15.75" customHeight="1">
      <c r="F766" s="41"/>
      <c r="Q766" s="24"/>
      <c r="R766" s="24"/>
    </row>
    <row r="767" ht="15.75" customHeight="1">
      <c r="F767" s="41"/>
      <c r="Q767" s="24"/>
      <c r="R767" s="24"/>
    </row>
    <row r="768" ht="15.75" customHeight="1">
      <c r="F768" s="41"/>
      <c r="Q768" s="24"/>
      <c r="R768" s="24"/>
    </row>
    <row r="769" ht="15.75" customHeight="1">
      <c r="F769" s="41"/>
      <c r="Q769" s="24"/>
      <c r="R769" s="24"/>
    </row>
    <row r="770" ht="15.75" customHeight="1">
      <c r="F770" s="41"/>
      <c r="Q770" s="24"/>
      <c r="R770" s="24"/>
    </row>
    <row r="771" ht="15.75" customHeight="1">
      <c r="F771" s="41"/>
      <c r="Q771" s="24"/>
      <c r="R771" s="24"/>
    </row>
    <row r="772" ht="15.75" customHeight="1">
      <c r="F772" s="41"/>
      <c r="Q772" s="24"/>
      <c r="R772" s="24"/>
    </row>
    <row r="773" ht="15.75" customHeight="1">
      <c r="F773" s="41"/>
      <c r="Q773" s="24"/>
      <c r="R773" s="24"/>
    </row>
    <row r="774" ht="15.75" customHeight="1">
      <c r="F774" s="41"/>
      <c r="Q774" s="24"/>
      <c r="R774" s="24"/>
    </row>
    <row r="775" ht="15.75" customHeight="1">
      <c r="F775" s="41"/>
      <c r="Q775" s="24"/>
      <c r="R775" s="24"/>
    </row>
    <row r="776" ht="15.75" customHeight="1">
      <c r="F776" s="41"/>
      <c r="Q776" s="24"/>
      <c r="R776" s="24"/>
    </row>
    <row r="777" ht="15.75" customHeight="1">
      <c r="F777" s="41"/>
      <c r="Q777" s="24"/>
      <c r="R777" s="24"/>
    </row>
    <row r="778" ht="15.75" customHeight="1">
      <c r="F778" s="41"/>
      <c r="Q778" s="24"/>
      <c r="R778" s="24"/>
    </row>
    <row r="779" ht="15.75" customHeight="1">
      <c r="F779" s="41"/>
      <c r="Q779" s="24"/>
      <c r="R779" s="24"/>
    </row>
    <row r="780" ht="15.75" customHeight="1">
      <c r="F780" s="41"/>
      <c r="Q780" s="24"/>
      <c r="R780" s="24"/>
    </row>
    <row r="781" ht="15.75" customHeight="1">
      <c r="F781" s="41"/>
      <c r="Q781" s="24"/>
      <c r="R781" s="24"/>
    </row>
    <row r="782" ht="15.75" customHeight="1">
      <c r="F782" s="41"/>
      <c r="Q782" s="24"/>
      <c r="R782" s="24"/>
    </row>
    <row r="783" ht="15.75" customHeight="1">
      <c r="F783" s="41"/>
      <c r="Q783" s="24"/>
      <c r="R783" s="24"/>
    </row>
    <row r="784" ht="15.75" customHeight="1">
      <c r="F784" s="41"/>
      <c r="Q784" s="24"/>
      <c r="R784" s="24"/>
    </row>
    <row r="785" ht="15.75" customHeight="1">
      <c r="F785" s="41"/>
      <c r="Q785" s="24"/>
      <c r="R785" s="24"/>
    </row>
    <row r="786" ht="15.75" customHeight="1">
      <c r="F786" s="41"/>
      <c r="Q786" s="24"/>
      <c r="R786" s="24"/>
    </row>
    <row r="787" ht="15.75" customHeight="1">
      <c r="F787" s="41"/>
      <c r="Q787" s="24"/>
      <c r="R787" s="24"/>
    </row>
    <row r="788" ht="15.75" customHeight="1">
      <c r="F788" s="41"/>
      <c r="Q788" s="24"/>
      <c r="R788" s="24"/>
    </row>
    <row r="789" ht="15.75" customHeight="1">
      <c r="F789" s="41"/>
      <c r="Q789" s="24"/>
      <c r="R789" s="24"/>
    </row>
    <row r="790" ht="15.75" customHeight="1">
      <c r="F790" s="41"/>
      <c r="Q790" s="24"/>
      <c r="R790" s="24"/>
    </row>
    <row r="791" ht="15.75" customHeight="1">
      <c r="F791" s="41"/>
      <c r="Q791" s="24"/>
      <c r="R791" s="24"/>
    </row>
    <row r="792" ht="15.75" customHeight="1">
      <c r="F792" s="41"/>
      <c r="Q792" s="24"/>
      <c r="R792" s="24"/>
    </row>
    <row r="793" ht="15.75" customHeight="1">
      <c r="F793" s="41"/>
      <c r="Q793" s="24"/>
      <c r="R793" s="24"/>
    </row>
    <row r="794" ht="15.75" customHeight="1">
      <c r="F794" s="41"/>
      <c r="Q794" s="24"/>
      <c r="R794" s="24"/>
    </row>
    <row r="795" ht="15.75" customHeight="1">
      <c r="F795" s="41"/>
      <c r="Q795" s="24"/>
      <c r="R795" s="24"/>
    </row>
    <row r="796" ht="15.75" customHeight="1">
      <c r="F796" s="41"/>
      <c r="Q796" s="24"/>
      <c r="R796" s="24"/>
    </row>
    <row r="797" ht="15.75" customHeight="1">
      <c r="F797" s="41"/>
      <c r="Q797" s="24"/>
      <c r="R797" s="24"/>
    </row>
    <row r="798" ht="15.75" customHeight="1">
      <c r="F798" s="41"/>
      <c r="Q798" s="24"/>
      <c r="R798" s="24"/>
    </row>
    <row r="799" ht="15.75" customHeight="1">
      <c r="F799" s="41"/>
      <c r="Q799" s="24"/>
      <c r="R799" s="24"/>
    </row>
    <row r="800" ht="15.75" customHeight="1">
      <c r="F800" s="41"/>
      <c r="Q800" s="24"/>
      <c r="R800" s="24"/>
    </row>
    <row r="801" ht="15.75" customHeight="1">
      <c r="F801" s="41"/>
      <c r="Q801" s="24"/>
      <c r="R801" s="24"/>
    </row>
    <row r="802" ht="15.75" customHeight="1">
      <c r="F802" s="41"/>
      <c r="Q802" s="24"/>
      <c r="R802" s="24"/>
    </row>
    <row r="803" ht="15.75" customHeight="1">
      <c r="F803" s="41"/>
      <c r="Q803" s="24"/>
      <c r="R803" s="24"/>
    </row>
    <row r="804" ht="15.75" customHeight="1">
      <c r="F804" s="41"/>
      <c r="Q804" s="24"/>
      <c r="R804" s="24"/>
    </row>
    <row r="805" ht="15.75" customHeight="1">
      <c r="F805" s="41"/>
      <c r="Q805" s="24"/>
      <c r="R805" s="24"/>
    </row>
    <row r="806" ht="15.75" customHeight="1">
      <c r="F806" s="41"/>
      <c r="Q806" s="24"/>
      <c r="R806" s="24"/>
    </row>
    <row r="807" ht="15.75" customHeight="1">
      <c r="F807" s="41"/>
      <c r="Q807" s="24"/>
      <c r="R807" s="24"/>
    </row>
    <row r="808" ht="15.75" customHeight="1">
      <c r="F808" s="41"/>
      <c r="Q808" s="24"/>
      <c r="R808" s="24"/>
    </row>
    <row r="809" ht="15.75" customHeight="1">
      <c r="F809" s="41"/>
      <c r="Q809" s="24"/>
      <c r="R809" s="24"/>
    </row>
    <row r="810" ht="15.75" customHeight="1">
      <c r="F810" s="41"/>
      <c r="Q810" s="24"/>
      <c r="R810" s="24"/>
    </row>
    <row r="811" ht="15.75" customHeight="1">
      <c r="F811" s="41"/>
      <c r="Q811" s="24"/>
      <c r="R811" s="24"/>
    </row>
    <row r="812" ht="15.75" customHeight="1">
      <c r="F812" s="41"/>
      <c r="Q812" s="24"/>
      <c r="R812" s="24"/>
    </row>
    <row r="813" ht="15.75" customHeight="1">
      <c r="F813" s="41"/>
      <c r="Q813" s="24"/>
      <c r="R813" s="24"/>
    </row>
    <row r="814" ht="15.75" customHeight="1">
      <c r="F814" s="41"/>
      <c r="Q814" s="24"/>
      <c r="R814" s="24"/>
    </row>
    <row r="815" ht="15.75" customHeight="1">
      <c r="F815" s="41"/>
      <c r="Q815" s="24"/>
      <c r="R815" s="24"/>
    </row>
    <row r="816" ht="15.75" customHeight="1">
      <c r="F816" s="41"/>
      <c r="Q816" s="24"/>
      <c r="R816" s="24"/>
    </row>
    <row r="817" ht="15.75" customHeight="1">
      <c r="F817" s="41"/>
      <c r="Q817" s="24"/>
      <c r="R817" s="24"/>
    </row>
    <row r="818" ht="15.75" customHeight="1">
      <c r="F818" s="41"/>
      <c r="Q818" s="24"/>
      <c r="R818" s="24"/>
    </row>
    <row r="819" ht="15.75" customHeight="1">
      <c r="F819" s="41"/>
      <c r="Q819" s="24"/>
      <c r="R819" s="24"/>
    </row>
    <row r="820" ht="15.75" customHeight="1">
      <c r="F820" s="41"/>
      <c r="Q820" s="24"/>
      <c r="R820" s="24"/>
    </row>
    <row r="821" ht="15.75" customHeight="1">
      <c r="F821" s="41"/>
      <c r="Q821" s="24"/>
      <c r="R821" s="24"/>
    </row>
    <row r="822" ht="15.75" customHeight="1">
      <c r="F822" s="41"/>
      <c r="Q822" s="24"/>
      <c r="R822" s="24"/>
    </row>
    <row r="823" ht="15.75" customHeight="1">
      <c r="F823" s="41"/>
      <c r="Q823" s="24"/>
      <c r="R823" s="24"/>
    </row>
    <row r="824" ht="15.75" customHeight="1">
      <c r="F824" s="41"/>
      <c r="Q824" s="24"/>
      <c r="R824" s="24"/>
    </row>
    <row r="825" ht="15.75" customHeight="1">
      <c r="F825" s="41"/>
      <c r="Q825" s="24"/>
      <c r="R825" s="24"/>
    </row>
    <row r="826" ht="15.75" customHeight="1">
      <c r="F826" s="41"/>
      <c r="Q826" s="24"/>
      <c r="R826" s="24"/>
    </row>
    <row r="827" ht="15.75" customHeight="1">
      <c r="F827" s="41"/>
      <c r="Q827" s="24"/>
      <c r="R827" s="24"/>
    </row>
    <row r="828" ht="15.75" customHeight="1">
      <c r="F828" s="41"/>
      <c r="Q828" s="24"/>
      <c r="R828" s="24"/>
    </row>
    <row r="829" ht="15.75" customHeight="1">
      <c r="F829" s="41"/>
      <c r="Q829" s="24"/>
      <c r="R829" s="24"/>
    </row>
    <row r="830" ht="15.75" customHeight="1">
      <c r="F830" s="41"/>
      <c r="Q830" s="24"/>
      <c r="R830" s="24"/>
    </row>
    <row r="831" ht="15.75" customHeight="1">
      <c r="F831" s="41"/>
      <c r="Q831" s="24"/>
      <c r="R831" s="24"/>
    </row>
    <row r="832" ht="15.75" customHeight="1">
      <c r="F832" s="41"/>
      <c r="Q832" s="24"/>
      <c r="R832" s="24"/>
    </row>
    <row r="833" ht="15.75" customHeight="1">
      <c r="F833" s="41"/>
      <c r="Q833" s="24"/>
      <c r="R833" s="24"/>
    </row>
    <row r="834" ht="15.75" customHeight="1">
      <c r="F834" s="41"/>
      <c r="Q834" s="24"/>
      <c r="R834" s="24"/>
    </row>
    <row r="835" ht="15.75" customHeight="1">
      <c r="F835" s="41"/>
      <c r="Q835" s="24"/>
      <c r="R835" s="24"/>
    </row>
    <row r="836" ht="15.75" customHeight="1">
      <c r="F836" s="41"/>
      <c r="Q836" s="24"/>
      <c r="R836" s="24"/>
    </row>
    <row r="837" ht="15.75" customHeight="1">
      <c r="F837" s="41"/>
      <c r="Q837" s="24"/>
      <c r="R837" s="24"/>
    </row>
    <row r="838" ht="15.75" customHeight="1">
      <c r="F838" s="41"/>
      <c r="Q838" s="24"/>
      <c r="R838" s="24"/>
    </row>
    <row r="839" ht="15.75" customHeight="1">
      <c r="F839" s="41"/>
      <c r="Q839" s="24"/>
      <c r="R839" s="24"/>
    </row>
    <row r="840" ht="15.75" customHeight="1">
      <c r="F840" s="41"/>
      <c r="Q840" s="24"/>
      <c r="R840" s="24"/>
    </row>
    <row r="841" ht="15.75" customHeight="1">
      <c r="F841" s="41"/>
      <c r="Q841" s="24"/>
      <c r="R841" s="24"/>
    </row>
    <row r="842" ht="15.75" customHeight="1">
      <c r="F842" s="41"/>
      <c r="Q842" s="24"/>
      <c r="R842" s="24"/>
    </row>
    <row r="843" ht="15.75" customHeight="1">
      <c r="F843" s="41"/>
      <c r="Q843" s="24"/>
      <c r="R843" s="24"/>
    </row>
    <row r="844" ht="15.75" customHeight="1">
      <c r="F844" s="41"/>
      <c r="Q844" s="24"/>
      <c r="R844" s="24"/>
    </row>
    <row r="845" ht="15.75" customHeight="1">
      <c r="F845" s="41"/>
      <c r="Q845" s="24"/>
      <c r="R845" s="24"/>
    </row>
    <row r="846" ht="15.75" customHeight="1">
      <c r="F846" s="41"/>
      <c r="Q846" s="24"/>
      <c r="R846" s="24"/>
    </row>
    <row r="847" ht="15.75" customHeight="1">
      <c r="F847" s="41"/>
      <c r="Q847" s="24"/>
      <c r="R847" s="24"/>
    </row>
    <row r="848" ht="15.75" customHeight="1">
      <c r="F848" s="41"/>
      <c r="Q848" s="24"/>
      <c r="R848" s="24"/>
    </row>
    <row r="849" ht="15.75" customHeight="1">
      <c r="F849" s="41"/>
      <c r="Q849" s="24"/>
      <c r="R849" s="24"/>
    </row>
    <row r="850" ht="15.75" customHeight="1">
      <c r="F850" s="41"/>
      <c r="Q850" s="24"/>
      <c r="R850" s="24"/>
    </row>
    <row r="851" ht="15.75" customHeight="1">
      <c r="F851" s="41"/>
      <c r="Q851" s="24"/>
      <c r="R851" s="24"/>
    </row>
    <row r="852" ht="15.75" customHeight="1">
      <c r="F852" s="41"/>
      <c r="Q852" s="24"/>
      <c r="R852" s="24"/>
    </row>
    <row r="853" ht="15.75" customHeight="1">
      <c r="F853" s="41"/>
      <c r="Q853" s="24"/>
      <c r="R853" s="24"/>
    </row>
    <row r="854" ht="15.75" customHeight="1">
      <c r="F854" s="41"/>
      <c r="Q854" s="24"/>
      <c r="R854" s="24"/>
    </row>
    <row r="855" ht="15.75" customHeight="1">
      <c r="F855" s="41"/>
      <c r="Q855" s="24"/>
      <c r="R855" s="24"/>
    </row>
    <row r="856" ht="15.75" customHeight="1">
      <c r="F856" s="41"/>
      <c r="Q856" s="24"/>
      <c r="R856" s="24"/>
    </row>
    <row r="857" ht="15.75" customHeight="1">
      <c r="F857" s="41"/>
      <c r="Q857" s="24"/>
      <c r="R857" s="24"/>
    </row>
    <row r="858" ht="15.75" customHeight="1">
      <c r="F858" s="41"/>
      <c r="Q858" s="24"/>
      <c r="R858" s="24"/>
    </row>
    <row r="859" ht="15.75" customHeight="1">
      <c r="F859" s="41"/>
      <c r="Q859" s="24"/>
      <c r="R859" s="24"/>
    </row>
    <row r="860" ht="15.75" customHeight="1">
      <c r="F860" s="41"/>
      <c r="Q860" s="24"/>
      <c r="R860" s="24"/>
    </row>
    <row r="861" ht="15.75" customHeight="1">
      <c r="F861" s="41"/>
      <c r="Q861" s="24"/>
      <c r="R861" s="24"/>
    </row>
    <row r="862" ht="15.75" customHeight="1">
      <c r="F862" s="41"/>
      <c r="Q862" s="24"/>
      <c r="R862" s="24"/>
    </row>
    <row r="863" ht="15.75" customHeight="1">
      <c r="F863" s="41"/>
      <c r="Q863" s="24"/>
      <c r="R863" s="24"/>
    </row>
    <row r="864" ht="15.75" customHeight="1">
      <c r="F864" s="41"/>
      <c r="Q864" s="24"/>
      <c r="R864" s="24"/>
    </row>
    <row r="865" ht="15.75" customHeight="1">
      <c r="F865" s="41"/>
      <c r="Q865" s="24"/>
      <c r="R865" s="24"/>
    </row>
    <row r="866" ht="15.75" customHeight="1">
      <c r="F866" s="41"/>
      <c r="Q866" s="24"/>
      <c r="R866" s="24"/>
    </row>
    <row r="867" ht="15.75" customHeight="1">
      <c r="F867" s="41"/>
      <c r="Q867" s="24"/>
      <c r="R867" s="24"/>
    </row>
    <row r="868" ht="15.75" customHeight="1">
      <c r="F868" s="41"/>
      <c r="Q868" s="24"/>
      <c r="R868" s="24"/>
    </row>
    <row r="869" ht="15.75" customHeight="1">
      <c r="F869" s="41"/>
      <c r="Q869" s="24"/>
      <c r="R869" s="24"/>
    </row>
    <row r="870" ht="15.75" customHeight="1">
      <c r="F870" s="41"/>
      <c r="Q870" s="24"/>
      <c r="R870" s="24"/>
    </row>
    <row r="871" ht="15.75" customHeight="1">
      <c r="F871" s="41"/>
      <c r="Q871" s="24"/>
      <c r="R871" s="24"/>
    </row>
    <row r="872" ht="15.75" customHeight="1">
      <c r="F872" s="41"/>
      <c r="Q872" s="24"/>
      <c r="R872" s="24"/>
    </row>
    <row r="873" ht="15.75" customHeight="1">
      <c r="F873" s="41"/>
      <c r="Q873" s="24"/>
      <c r="R873" s="24"/>
    </row>
    <row r="874" ht="15.75" customHeight="1">
      <c r="F874" s="41"/>
      <c r="Q874" s="24"/>
      <c r="R874" s="24"/>
    </row>
    <row r="875" ht="15.75" customHeight="1">
      <c r="F875" s="41"/>
      <c r="Q875" s="24"/>
      <c r="R875" s="24"/>
    </row>
    <row r="876" ht="15.75" customHeight="1">
      <c r="F876" s="41"/>
      <c r="Q876" s="24"/>
      <c r="R876" s="24"/>
    </row>
    <row r="877" ht="15.75" customHeight="1">
      <c r="F877" s="41"/>
      <c r="Q877" s="24"/>
      <c r="R877" s="24"/>
    </row>
    <row r="878" ht="15.75" customHeight="1">
      <c r="F878" s="41"/>
      <c r="Q878" s="24"/>
      <c r="R878" s="24"/>
    </row>
    <row r="879" ht="15.75" customHeight="1">
      <c r="F879" s="41"/>
      <c r="Q879" s="24"/>
      <c r="R879" s="24"/>
    </row>
    <row r="880" ht="15.75" customHeight="1">
      <c r="F880" s="41"/>
      <c r="Q880" s="24"/>
      <c r="R880" s="24"/>
    </row>
    <row r="881" ht="15.75" customHeight="1">
      <c r="F881" s="41"/>
      <c r="Q881" s="24"/>
      <c r="R881" s="24"/>
    </row>
    <row r="882" ht="15.75" customHeight="1">
      <c r="F882" s="41"/>
      <c r="Q882" s="24"/>
      <c r="R882" s="24"/>
    </row>
    <row r="883" ht="15.75" customHeight="1">
      <c r="F883" s="41"/>
      <c r="Q883" s="24"/>
      <c r="R883" s="24"/>
    </row>
    <row r="884" ht="15.75" customHeight="1">
      <c r="F884" s="41"/>
      <c r="Q884" s="24"/>
      <c r="R884" s="24"/>
    </row>
    <row r="885" ht="15.75" customHeight="1">
      <c r="F885" s="41"/>
      <c r="Q885" s="24"/>
      <c r="R885" s="24"/>
    </row>
    <row r="886" ht="15.75" customHeight="1">
      <c r="F886" s="41"/>
      <c r="Q886" s="24"/>
      <c r="R886" s="24"/>
    </row>
    <row r="887" ht="15.75" customHeight="1">
      <c r="F887" s="41"/>
      <c r="Q887" s="24"/>
      <c r="R887" s="24"/>
    </row>
    <row r="888" ht="15.75" customHeight="1">
      <c r="F888" s="41"/>
      <c r="Q888" s="24"/>
      <c r="R888" s="24"/>
    </row>
    <row r="889" ht="15.75" customHeight="1">
      <c r="F889" s="41"/>
      <c r="Q889" s="24"/>
      <c r="R889" s="24"/>
    </row>
    <row r="890" ht="15.75" customHeight="1">
      <c r="F890" s="41"/>
      <c r="Q890" s="24"/>
      <c r="R890" s="24"/>
    </row>
    <row r="891" ht="15.75" customHeight="1">
      <c r="F891" s="41"/>
      <c r="Q891" s="24"/>
      <c r="R891" s="24"/>
    </row>
    <row r="892" ht="15.75" customHeight="1">
      <c r="F892" s="41"/>
      <c r="Q892" s="24"/>
      <c r="R892" s="24"/>
    </row>
    <row r="893" ht="15.75" customHeight="1">
      <c r="F893" s="41"/>
      <c r="Q893" s="24"/>
      <c r="R893" s="24"/>
    </row>
    <row r="894" ht="15.75" customHeight="1">
      <c r="F894" s="41"/>
      <c r="Q894" s="24"/>
      <c r="R894" s="24"/>
    </row>
    <row r="895" ht="15.75" customHeight="1">
      <c r="F895" s="41"/>
      <c r="Q895" s="24"/>
      <c r="R895" s="24"/>
    </row>
    <row r="896" ht="15.75" customHeight="1">
      <c r="F896" s="41"/>
      <c r="Q896" s="24"/>
      <c r="R896" s="24"/>
    </row>
    <row r="897" ht="15.75" customHeight="1">
      <c r="F897" s="41"/>
      <c r="Q897" s="24"/>
      <c r="R897" s="24"/>
    </row>
    <row r="898" ht="15.75" customHeight="1">
      <c r="F898" s="41"/>
      <c r="Q898" s="24"/>
      <c r="R898" s="24"/>
    </row>
    <row r="899" ht="15.75" customHeight="1">
      <c r="F899" s="41"/>
      <c r="Q899" s="24"/>
      <c r="R899" s="24"/>
    </row>
    <row r="900" ht="15.75" customHeight="1">
      <c r="F900" s="41"/>
      <c r="Q900" s="24"/>
      <c r="R900" s="24"/>
    </row>
    <row r="901" ht="15.75" customHeight="1">
      <c r="F901" s="41"/>
      <c r="Q901" s="24"/>
      <c r="R901" s="24"/>
    </row>
    <row r="902" ht="15.75" customHeight="1">
      <c r="F902" s="41"/>
      <c r="Q902" s="24"/>
      <c r="R902" s="24"/>
    </row>
    <row r="903" ht="15.75" customHeight="1">
      <c r="F903" s="41"/>
      <c r="Q903" s="24"/>
      <c r="R903" s="24"/>
    </row>
    <row r="904" ht="15.75" customHeight="1">
      <c r="F904" s="41"/>
      <c r="Q904" s="24"/>
      <c r="R904" s="24"/>
    </row>
    <row r="905" ht="15.75" customHeight="1">
      <c r="F905" s="41"/>
      <c r="Q905" s="24"/>
      <c r="R905" s="24"/>
    </row>
    <row r="906" ht="15.75" customHeight="1">
      <c r="F906" s="41"/>
      <c r="Q906" s="24"/>
      <c r="R906" s="24"/>
    </row>
    <row r="907" ht="15.75" customHeight="1">
      <c r="F907" s="41"/>
      <c r="Q907" s="24"/>
      <c r="R907" s="24"/>
    </row>
    <row r="908" ht="15.75" customHeight="1">
      <c r="F908" s="41"/>
      <c r="Q908" s="24"/>
      <c r="R908" s="24"/>
    </row>
    <row r="909" ht="15.75" customHeight="1">
      <c r="F909" s="41"/>
      <c r="Q909" s="24"/>
      <c r="R909" s="24"/>
    </row>
    <row r="910" ht="15.75" customHeight="1">
      <c r="F910" s="41"/>
      <c r="Q910" s="24"/>
      <c r="R910" s="24"/>
    </row>
    <row r="911" ht="15.75" customHeight="1">
      <c r="F911" s="41"/>
      <c r="Q911" s="24"/>
      <c r="R911" s="24"/>
    </row>
    <row r="912" ht="15.75" customHeight="1">
      <c r="F912" s="41"/>
      <c r="Q912" s="24"/>
      <c r="R912" s="24"/>
    </row>
    <row r="913" ht="15.75" customHeight="1">
      <c r="F913" s="41"/>
      <c r="Q913" s="24"/>
      <c r="R913" s="24"/>
    </row>
    <row r="914" ht="15.75" customHeight="1">
      <c r="F914" s="41"/>
      <c r="Q914" s="24"/>
      <c r="R914" s="24"/>
    </row>
    <row r="915" ht="15.75" customHeight="1">
      <c r="F915" s="41"/>
      <c r="Q915" s="24"/>
      <c r="R915" s="24"/>
    </row>
    <row r="916" ht="15.75" customHeight="1">
      <c r="F916" s="41"/>
      <c r="Q916" s="24"/>
      <c r="R916" s="24"/>
    </row>
    <row r="917" ht="15.75" customHeight="1">
      <c r="F917" s="41"/>
      <c r="Q917" s="24"/>
      <c r="R917" s="24"/>
    </row>
    <row r="918" ht="15.75" customHeight="1">
      <c r="F918" s="41"/>
      <c r="Q918" s="24"/>
      <c r="R918" s="24"/>
    </row>
    <row r="919" ht="15.75" customHeight="1">
      <c r="F919" s="41"/>
      <c r="Q919" s="24"/>
      <c r="R919" s="24"/>
    </row>
    <row r="920" ht="15.75" customHeight="1">
      <c r="F920" s="41"/>
      <c r="Q920" s="24"/>
      <c r="R920" s="24"/>
    </row>
    <row r="921" ht="15.75" customHeight="1">
      <c r="F921" s="41"/>
      <c r="Q921" s="24"/>
      <c r="R921" s="24"/>
    </row>
    <row r="922" ht="15.75" customHeight="1">
      <c r="F922" s="41"/>
      <c r="Q922" s="24"/>
      <c r="R922" s="24"/>
    </row>
    <row r="923" ht="15.75" customHeight="1">
      <c r="F923" s="41"/>
      <c r="Q923" s="24"/>
      <c r="R923" s="24"/>
    </row>
    <row r="924" ht="15.75" customHeight="1">
      <c r="F924" s="41"/>
      <c r="Q924" s="24"/>
      <c r="R924" s="24"/>
    </row>
    <row r="925" ht="15.75" customHeight="1">
      <c r="F925" s="41"/>
      <c r="Q925" s="24"/>
      <c r="R925" s="24"/>
    </row>
    <row r="926" ht="15.75" customHeight="1">
      <c r="F926" s="41"/>
      <c r="Q926" s="24"/>
      <c r="R926" s="24"/>
    </row>
    <row r="927" ht="15.75" customHeight="1">
      <c r="F927" s="41"/>
      <c r="Q927" s="24"/>
      <c r="R927" s="24"/>
    </row>
    <row r="928" ht="15.75" customHeight="1">
      <c r="F928" s="41"/>
      <c r="Q928" s="24"/>
      <c r="R928" s="24"/>
    </row>
    <row r="929" ht="15.75" customHeight="1">
      <c r="F929" s="41"/>
      <c r="Q929" s="24"/>
      <c r="R929" s="24"/>
    </row>
    <row r="930" ht="15.75" customHeight="1">
      <c r="F930" s="41"/>
      <c r="Q930" s="24"/>
      <c r="R930" s="24"/>
    </row>
    <row r="931" ht="15.75" customHeight="1">
      <c r="F931" s="41"/>
      <c r="Q931" s="24"/>
      <c r="R931" s="24"/>
    </row>
    <row r="932" ht="15.75" customHeight="1">
      <c r="F932" s="41"/>
      <c r="Q932" s="24"/>
      <c r="R932" s="24"/>
    </row>
    <row r="933" ht="15.75" customHeight="1">
      <c r="F933" s="41"/>
      <c r="Q933" s="24"/>
      <c r="R933" s="24"/>
    </row>
    <row r="934" ht="15.75" customHeight="1">
      <c r="F934" s="41"/>
      <c r="Q934" s="24"/>
      <c r="R934" s="24"/>
    </row>
    <row r="935" ht="15.75" customHeight="1">
      <c r="F935" s="41"/>
      <c r="Q935" s="24"/>
      <c r="R935" s="24"/>
    </row>
    <row r="936" ht="15.75" customHeight="1">
      <c r="F936" s="41"/>
      <c r="Q936" s="24"/>
      <c r="R936" s="24"/>
    </row>
    <row r="937" ht="15.75" customHeight="1">
      <c r="F937" s="41"/>
      <c r="Q937" s="24"/>
      <c r="R937" s="24"/>
    </row>
    <row r="938" ht="15.75" customHeight="1">
      <c r="F938" s="41"/>
      <c r="Q938" s="24"/>
      <c r="R938" s="24"/>
    </row>
    <row r="939" ht="15.75" customHeight="1">
      <c r="F939" s="41"/>
      <c r="Q939" s="24"/>
      <c r="R939" s="24"/>
    </row>
    <row r="940" ht="15.75" customHeight="1">
      <c r="F940" s="41"/>
      <c r="Q940" s="24"/>
      <c r="R940" s="24"/>
    </row>
    <row r="941" ht="15.75" customHeight="1">
      <c r="F941" s="41"/>
      <c r="Q941" s="24"/>
      <c r="R941" s="24"/>
    </row>
    <row r="942" ht="15.75" customHeight="1">
      <c r="F942" s="41"/>
      <c r="Q942" s="24"/>
      <c r="R942" s="24"/>
    </row>
    <row r="943" ht="15.75" customHeight="1">
      <c r="F943" s="41"/>
      <c r="Q943" s="24"/>
      <c r="R943" s="24"/>
    </row>
    <row r="944" ht="15.75" customHeight="1">
      <c r="F944" s="41"/>
      <c r="Q944" s="24"/>
      <c r="R944" s="24"/>
    </row>
    <row r="945" ht="15.75" customHeight="1">
      <c r="F945" s="41"/>
      <c r="Q945" s="24"/>
      <c r="R945" s="24"/>
    </row>
    <row r="946" ht="15.75" customHeight="1">
      <c r="F946" s="41"/>
      <c r="Q946" s="24"/>
      <c r="R946" s="24"/>
    </row>
    <row r="947" ht="15.75" customHeight="1">
      <c r="F947" s="41"/>
      <c r="Q947" s="24"/>
      <c r="R947" s="24"/>
    </row>
    <row r="948" ht="15.75" customHeight="1">
      <c r="F948" s="41"/>
      <c r="Q948" s="24"/>
      <c r="R948" s="24"/>
    </row>
    <row r="949" ht="15.75" customHeight="1">
      <c r="F949" s="41"/>
      <c r="Q949" s="24"/>
      <c r="R949" s="24"/>
    </row>
    <row r="950" ht="15.75" customHeight="1">
      <c r="F950" s="41"/>
      <c r="Q950" s="24"/>
      <c r="R950" s="24"/>
    </row>
    <row r="951" ht="15.75" customHeight="1">
      <c r="F951" s="41"/>
      <c r="Q951" s="24"/>
      <c r="R951" s="24"/>
    </row>
    <row r="952" ht="15.75" customHeight="1">
      <c r="F952" s="41"/>
      <c r="Q952" s="24"/>
      <c r="R952" s="24"/>
    </row>
    <row r="953" ht="15.75" customHeight="1">
      <c r="F953" s="41"/>
      <c r="Q953" s="24"/>
      <c r="R953" s="24"/>
    </row>
    <row r="954" ht="15.75" customHeight="1">
      <c r="F954" s="41"/>
      <c r="Q954" s="24"/>
      <c r="R954" s="24"/>
    </row>
    <row r="955" ht="15.75" customHeight="1">
      <c r="F955" s="41"/>
      <c r="Q955" s="24"/>
      <c r="R955" s="24"/>
    </row>
    <row r="956" ht="15.75" customHeight="1">
      <c r="F956" s="41"/>
      <c r="Q956" s="24"/>
      <c r="R956" s="24"/>
    </row>
    <row r="957" ht="15.75" customHeight="1">
      <c r="F957" s="41"/>
      <c r="Q957" s="24"/>
      <c r="R957" s="24"/>
    </row>
    <row r="958" ht="15.75" customHeight="1">
      <c r="F958" s="41"/>
      <c r="Q958" s="24"/>
      <c r="R958" s="24"/>
    </row>
    <row r="959" ht="15.75" customHeight="1">
      <c r="F959" s="41"/>
      <c r="Q959" s="24"/>
      <c r="R959" s="24"/>
    </row>
    <row r="960" ht="15.75" customHeight="1">
      <c r="F960" s="41"/>
      <c r="Q960" s="24"/>
      <c r="R960" s="24"/>
    </row>
    <row r="961" ht="15.75" customHeight="1">
      <c r="F961" s="41"/>
      <c r="Q961" s="24"/>
      <c r="R961" s="24"/>
    </row>
    <row r="962" ht="15.75" customHeight="1">
      <c r="F962" s="41"/>
      <c r="Q962" s="24"/>
      <c r="R962" s="24"/>
    </row>
    <row r="963" ht="15.75" customHeight="1">
      <c r="F963" s="41"/>
      <c r="Q963" s="24"/>
      <c r="R963" s="24"/>
    </row>
    <row r="964" ht="15.75" customHeight="1">
      <c r="F964" s="41"/>
      <c r="Q964" s="24"/>
      <c r="R964" s="24"/>
    </row>
    <row r="965" ht="15.75" customHeight="1">
      <c r="F965" s="41"/>
      <c r="Q965" s="24"/>
      <c r="R965" s="24"/>
    </row>
    <row r="966" ht="15.75" customHeight="1">
      <c r="F966" s="41"/>
      <c r="Q966" s="24"/>
      <c r="R966" s="24"/>
    </row>
    <row r="967" ht="15.75" customHeight="1">
      <c r="F967" s="41"/>
      <c r="Q967" s="24"/>
      <c r="R967" s="24"/>
    </row>
    <row r="968" ht="15.75" customHeight="1">
      <c r="F968" s="41"/>
      <c r="Q968" s="24"/>
      <c r="R968" s="24"/>
    </row>
    <row r="969" ht="15.75" customHeight="1">
      <c r="F969" s="41"/>
      <c r="Q969" s="24"/>
      <c r="R969" s="24"/>
    </row>
    <row r="970" ht="15.75" customHeight="1">
      <c r="F970" s="41"/>
      <c r="Q970" s="24"/>
      <c r="R970" s="24"/>
    </row>
    <row r="971" ht="15.75" customHeight="1">
      <c r="F971" s="41"/>
      <c r="Q971" s="24"/>
      <c r="R971" s="24"/>
    </row>
    <row r="972" ht="15.75" customHeight="1">
      <c r="F972" s="41"/>
      <c r="Q972" s="24"/>
      <c r="R972" s="24"/>
    </row>
    <row r="973" ht="15.75" customHeight="1">
      <c r="F973" s="41"/>
      <c r="Q973" s="24"/>
      <c r="R973" s="24"/>
    </row>
    <row r="974" ht="15.75" customHeight="1">
      <c r="F974" s="41"/>
      <c r="Q974" s="24"/>
      <c r="R974" s="24"/>
    </row>
    <row r="975" ht="15.75" customHeight="1">
      <c r="F975" s="41"/>
      <c r="Q975" s="24"/>
      <c r="R975" s="24"/>
    </row>
    <row r="976" ht="15.75" customHeight="1">
      <c r="F976" s="41"/>
      <c r="Q976" s="24"/>
      <c r="R976" s="24"/>
    </row>
    <row r="977" ht="15.75" customHeight="1">
      <c r="F977" s="41"/>
      <c r="Q977" s="24"/>
      <c r="R977" s="24"/>
    </row>
    <row r="978" ht="15.75" customHeight="1">
      <c r="F978" s="41"/>
      <c r="Q978" s="24"/>
      <c r="R978" s="24"/>
    </row>
    <row r="979" ht="15.75" customHeight="1">
      <c r="F979" s="41"/>
      <c r="Q979" s="24"/>
      <c r="R979" s="24"/>
    </row>
    <row r="980" ht="15.75" customHeight="1">
      <c r="F980" s="41"/>
      <c r="Q980" s="24"/>
      <c r="R980" s="24"/>
    </row>
    <row r="981" ht="15.75" customHeight="1">
      <c r="F981" s="41"/>
      <c r="Q981" s="24"/>
      <c r="R981" s="24"/>
    </row>
    <row r="982" ht="15.75" customHeight="1">
      <c r="F982" s="41"/>
      <c r="Q982" s="24"/>
      <c r="R982" s="24"/>
    </row>
    <row r="983" ht="15.75" customHeight="1">
      <c r="F983" s="41"/>
      <c r="Q983" s="24"/>
      <c r="R983" s="24"/>
    </row>
    <row r="984" ht="15.75" customHeight="1">
      <c r="F984" s="41"/>
      <c r="Q984" s="24"/>
      <c r="R984" s="24"/>
    </row>
    <row r="985" ht="15.75" customHeight="1">
      <c r="F985" s="41"/>
      <c r="Q985" s="24"/>
      <c r="R985" s="24"/>
    </row>
    <row r="986" ht="15.75" customHeight="1">
      <c r="F986" s="41"/>
      <c r="Q986" s="24"/>
      <c r="R986" s="24"/>
    </row>
    <row r="987" ht="15.75" customHeight="1">
      <c r="F987" s="41"/>
      <c r="Q987" s="24"/>
      <c r="R987" s="24"/>
    </row>
    <row r="988" ht="15.75" customHeight="1">
      <c r="F988" s="41"/>
      <c r="Q988" s="24"/>
      <c r="R988" s="24"/>
    </row>
    <row r="989" ht="15.75" customHeight="1">
      <c r="F989" s="41"/>
      <c r="Q989" s="24"/>
      <c r="R989" s="24"/>
    </row>
    <row r="990" ht="15.75" customHeight="1">
      <c r="F990" s="41"/>
      <c r="Q990" s="24"/>
      <c r="R990" s="24"/>
    </row>
    <row r="991" ht="15.75" customHeight="1">
      <c r="F991" s="41"/>
      <c r="Q991" s="24"/>
      <c r="R991" s="24"/>
    </row>
    <row r="992" ht="15.75" customHeight="1">
      <c r="F992" s="41"/>
      <c r="Q992" s="24"/>
      <c r="R992" s="24"/>
    </row>
    <row r="993" ht="15.75" customHeight="1">
      <c r="F993" s="41"/>
      <c r="Q993" s="24"/>
      <c r="R993" s="24"/>
    </row>
    <row r="994" ht="15.75" customHeight="1">
      <c r="F994" s="41"/>
      <c r="Q994" s="24"/>
      <c r="R994" s="24"/>
    </row>
    <row r="995" ht="15.75" customHeight="1">
      <c r="F995" s="41"/>
      <c r="Q995" s="24"/>
      <c r="R995" s="24"/>
    </row>
    <row r="996" ht="15.75" customHeight="1">
      <c r="F996" s="41"/>
      <c r="Q996" s="24"/>
      <c r="R996" s="24"/>
    </row>
    <row r="997" ht="15.75" customHeight="1">
      <c r="F997" s="41"/>
      <c r="Q997" s="24"/>
      <c r="R997" s="24"/>
    </row>
    <row r="998" ht="15.75" customHeight="1">
      <c r="F998" s="41"/>
      <c r="Q998" s="24"/>
      <c r="R998" s="24"/>
    </row>
    <row r="999" ht="15.75" customHeight="1">
      <c r="F999" s="41"/>
      <c r="Q999" s="24"/>
      <c r="R999" s="24"/>
    </row>
    <row r="1000" ht="15.75" customHeight="1">
      <c r="F1000" s="41"/>
      <c r="Q1000" s="24"/>
      <c r="R1000" s="24"/>
    </row>
    <row r="1001" ht="15.75" customHeight="1">
      <c r="F1001" s="41"/>
      <c r="Q1001" s="24"/>
      <c r="R1001" s="24"/>
    </row>
    <row r="1002" ht="15.75" customHeight="1">
      <c r="F1002" s="41"/>
      <c r="Q1002" s="24"/>
      <c r="R1002" s="24"/>
    </row>
    <row r="1003" ht="15.75" customHeight="1">
      <c r="F1003" s="41"/>
      <c r="Q1003" s="24"/>
      <c r="R1003" s="24"/>
    </row>
  </sheetData>
  <autoFilter ref="$A$3:$H$7">
    <sortState ref="A3:H7">
      <sortCondition descending="1" ref="H3:H7"/>
    </sortState>
  </autoFilter>
  <mergeCells count="6">
    <mergeCell ref="A1:A2"/>
    <mergeCell ref="B1:I2"/>
    <mergeCell ref="I4:I7"/>
    <mergeCell ref="A10:I10"/>
    <mergeCell ref="A11:I11"/>
    <mergeCell ref="A13:L13"/>
  </mergeCells>
  <conditionalFormatting sqref="H4:H7">
    <cfRule type="colorScale" priority="1">
      <colorScale>
        <cfvo type="min"/>
        <cfvo type="max"/>
        <color rgb="FFFFFFFF"/>
        <color rgb="FFE67C73"/>
      </colorScale>
    </cfRule>
  </conditionalFormatting>
  <conditionalFormatting sqref="E15:M15">
    <cfRule type="colorScale" priority="2">
      <colorScale>
        <cfvo type="min"/>
        <cfvo type="percentile" val="50"/>
        <cfvo type="max"/>
        <color rgb="FF57BB8A"/>
        <color rgb="FFFFD666"/>
        <color rgb="FFE67C73"/>
      </colorScale>
    </cfRule>
  </conditionalFormatting>
  <conditionalFormatting sqref="B23:B24">
    <cfRule type="cellIs" dxfId="0" priority="3" operator="greaterThan">
      <formula>26</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9.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338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339</v>
      </c>
      <c r="B4" s="6">
        <v>50.0</v>
      </c>
      <c r="C4" s="6">
        <v>50.0</v>
      </c>
      <c r="D4" s="4" t="s">
        <v>6</v>
      </c>
      <c r="E4" s="6">
        <f>B4-C4</f>
        <v>0</v>
      </c>
      <c r="F4" s="5">
        <f t="shared" ref="F4:F10" si="1">E4/B4*100</f>
        <v>0</v>
      </c>
      <c r="G4" s="106">
        <f>'пф курица готовая'!G6/'пф курица готовая'!I6*B4</f>
        <v>25.70942541</v>
      </c>
      <c r="H4" s="59">
        <f t="shared" ref="H4:H5" si="2">G4/$G$11</f>
        <v>0.4142238973</v>
      </c>
      <c r="I4" s="103"/>
    </row>
    <row r="5">
      <c r="A5" s="6" t="s">
        <v>340</v>
      </c>
      <c r="B5" s="6">
        <v>50.0</v>
      </c>
      <c r="C5" s="6">
        <v>50.0</v>
      </c>
      <c r="D5" s="6" t="s">
        <v>6</v>
      </c>
      <c r="E5" s="6">
        <v>0.0</v>
      </c>
      <c r="F5" s="5">
        <f t="shared" si="1"/>
        <v>0</v>
      </c>
      <c r="G5" s="106">
        <f>'пф Лаваш Искенди'!G6/2</f>
        <v>9.41972</v>
      </c>
      <c r="H5" s="59">
        <f t="shared" si="2"/>
        <v>0.1517681966</v>
      </c>
      <c r="I5" s="81"/>
    </row>
    <row r="6">
      <c r="A6" s="6" t="s">
        <v>104</v>
      </c>
      <c r="B6" s="6">
        <v>20.0</v>
      </c>
      <c r="C6" s="6">
        <v>20.0</v>
      </c>
      <c r="D6" s="4" t="s">
        <v>6</v>
      </c>
      <c r="E6" s="6">
        <f t="shared" ref="E6:E11" si="3">B6-C6</f>
        <v>0</v>
      </c>
      <c r="F6" s="5">
        <f t="shared" si="1"/>
        <v>0</v>
      </c>
      <c r="G6" s="5">
        <f>VLOOKUP(A6,'Матрица поставщиков'!A1:E53,5,0) * B6</f>
        <v>7</v>
      </c>
      <c r="H6" s="59">
        <f>G6/G11</f>
        <v>0.112782267</v>
      </c>
      <c r="I6" s="81"/>
    </row>
    <row r="7" ht="15.75" customHeight="1">
      <c r="A7" s="6" t="s">
        <v>341</v>
      </c>
      <c r="B7" s="6">
        <v>120.0</v>
      </c>
      <c r="C7" s="6">
        <v>45.0</v>
      </c>
      <c r="D7" s="4" t="s">
        <v>12</v>
      </c>
      <c r="E7" s="6">
        <f t="shared" si="3"/>
        <v>75</v>
      </c>
      <c r="F7" s="5">
        <f t="shared" si="1"/>
        <v>62.5</v>
      </c>
      <c r="G7" s="5">
        <f>('пф искандер соус'!G11/'пф искандер соус'!I11)*B7</f>
        <v>4.33944</v>
      </c>
      <c r="H7" s="59">
        <f t="shared" ref="H7:H10" si="4">G7/$G$11</f>
        <v>0.06991598295</v>
      </c>
      <c r="I7" s="81"/>
    </row>
    <row r="8">
      <c r="A8" s="6" t="s">
        <v>24</v>
      </c>
      <c r="B8" s="6">
        <v>20.0</v>
      </c>
      <c r="C8" s="6">
        <v>20.0</v>
      </c>
      <c r="D8" s="4" t="s">
        <v>6</v>
      </c>
      <c r="E8" s="6">
        <f t="shared" si="3"/>
        <v>0</v>
      </c>
      <c r="F8" s="5">
        <f t="shared" si="1"/>
        <v>0</v>
      </c>
      <c r="G8" s="5">
        <f>VLOOKUP(A8,'Матрица поставщиков'!A1:E507,5,0) * B8</f>
        <v>7.293333333</v>
      </c>
      <c r="H8" s="59">
        <f t="shared" si="4"/>
        <v>0.117508381</v>
      </c>
      <c r="I8" s="81"/>
    </row>
    <row r="9">
      <c r="A9" s="6" t="s">
        <v>34</v>
      </c>
      <c r="B9" s="6">
        <v>20.0</v>
      </c>
      <c r="C9" s="6">
        <f>B9</f>
        <v>20</v>
      </c>
      <c r="D9" s="4" t="s">
        <v>6</v>
      </c>
      <c r="E9" s="6">
        <f t="shared" si="3"/>
        <v>0</v>
      </c>
      <c r="F9" s="5">
        <f t="shared" si="1"/>
        <v>0</v>
      </c>
      <c r="G9" s="5">
        <f>VLOOKUP(A9,'Матрица поставщиков'!A1:E503,5,0) * B9</f>
        <v>3.526666667</v>
      </c>
      <c r="H9" s="59">
        <f t="shared" si="4"/>
        <v>0.05682078022</v>
      </c>
      <c r="I9" s="81"/>
    </row>
    <row r="10">
      <c r="A10" s="6" t="s">
        <v>342</v>
      </c>
      <c r="B10" s="6">
        <v>15.0</v>
      </c>
      <c r="C10" s="6">
        <v>15.0</v>
      </c>
      <c r="D10" s="4" t="s">
        <v>6</v>
      </c>
      <c r="E10" s="6">
        <f t="shared" si="3"/>
        <v>0</v>
      </c>
      <c r="F10" s="5">
        <f t="shared" si="1"/>
        <v>0</v>
      </c>
      <c r="G10" s="106">
        <f>('пф Фри'!G7/'пф Фри'!I7) * B10</f>
        <v>4.7779095</v>
      </c>
      <c r="H10" s="59">
        <f t="shared" si="4"/>
        <v>0.07698049498</v>
      </c>
      <c r="I10" s="52"/>
    </row>
    <row r="11">
      <c r="A11" s="44" t="s">
        <v>227</v>
      </c>
      <c r="B11" s="4">
        <f t="shared" ref="B11:C11" si="5">SUM(B4:B10)</f>
        <v>295</v>
      </c>
      <c r="C11" s="4">
        <f t="shared" si="5"/>
        <v>220</v>
      </c>
      <c r="D11" s="82" t="s">
        <v>275</v>
      </c>
      <c r="E11" s="6">
        <f t="shared" si="3"/>
        <v>75</v>
      </c>
      <c r="F11" s="82" t="s">
        <v>275</v>
      </c>
      <c r="G11" s="60">
        <f t="shared" ref="G11:H11" si="6">SUM(G4:G10)</f>
        <v>62.06649491</v>
      </c>
      <c r="H11" s="61">
        <f t="shared" si="6"/>
        <v>1</v>
      </c>
      <c r="I11" s="108">
        <f>B11-E11</f>
        <v>220</v>
      </c>
    </row>
    <row r="12">
      <c r="F12" s="41"/>
    </row>
    <row r="13">
      <c r="A13" s="63" t="s">
        <v>238</v>
      </c>
    </row>
    <row r="14">
      <c r="A14" s="65" t="s">
        <v>343</v>
      </c>
      <c r="J14" s="65"/>
      <c r="K14" s="65"/>
      <c r="L14" s="65"/>
      <c r="M14" s="65"/>
      <c r="N14" s="65"/>
      <c r="O14" s="65"/>
      <c r="P14" s="65"/>
      <c r="Q14" s="65"/>
      <c r="R14" s="65"/>
      <c r="S14" s="65"/>
    </row>
    <row r="15">
      <c r="A15" s="70"/>
      <c r="F15" s="41"/>
    </row>
    <row r="16">
      <c r="A16" s="67" t="s">
        <v>241</v>
      </c>
      <c r="B16" s="68"/>
      <c r="C16" s="68"/>
      <c r="D16" s="68"/>
      <c r="E16" s="68"/>
      <c r="F16" s="68"/>
      <c r="G16" s="68"/>
      <c r="H16" s="68"/>
      <c r="I16" s="68"/>
      <c r="J16" s="68"/>
      <c r="K16" s="68"/>
      <c r="L16" s="69"/>
    </row>
    <row r="17">
      <c r="A17" s="44" t="s">
        <v>300</v>
      </c>
      <c r="B17" s="44" t="s">
        <v>301</v>
      </c>
      <c r="C17" s="44" t="s">
        <v>242</v>
      </c>
      <c r="E17" s="72" t="s">
        <v>244</v>
      </c>
      <c r="F17" s="6">
        <v>25.0</v>
      </c>
      <c r="G17" s="6">
        <v>26.0</v>
      </c>
      <c r="H17" s="6">
        <v>27.0</v>
      </c>
      <c r="I17" s="6">
        <v>27.75</v>
      </c>
      <c r="J17" s="6">
        <v>29.0</v>
      </c>
      <c r="K17" s="6">
        <v>30.0</v>
      </c>
      <c r="L17" s="6">
        <v>31.0</v>
      </c>
    </row>
    <row r="18">
      <c r="A18" s="6" t="s">
        <v>277</v>
      </c>
      <c r="B18" s="84">
        <f>C18/C26</f>
        <v>0.8455177568</v>
      </c>
      <c r="C18" s="34">
        <f>G11</f>
        <v>62.06649491</v>
      </c>
      <c r="E18" s="72" t="s">
        <v>245</v>
      </c>
      <c r="F18" s="73">
        <f>C26*100/F17</f>
        <v>293.6259796</v>
      </c>
      <c r="G18" s="73">
        <f>C26*100/G17</f>
        <v>282.3326727</v>
      </c>
      <c r="H18" s="73">
        <f>C26*100/H17</f>
        <v>271.8759071</v>
      </c>
      <c r="I18" s="73">
        <f>C26*100/I17</f>
        <v>264.5279096</v>
      </c>
      <c r="J18" s="73">
        <f>C26*100/J17</f>
        <v>253.1258445</v>
      </c>
      <c r="K18" s="73">
        <f>C26*100/K17</f>
        <v>244.6883164</v>
      </c>
      <c r="L18" s="73">
        <f>C26*100/L17</f>
        <v>236.7951449</v>
      </c>
    </row>
    <row r="19">
      <c r="A19" s="6" t="s">
        <v>249</v>
      </c>
      <c r="B19" s="84">
        <f>C19/C26</f>
        <v>0.02724554554</v>
      </c>
      <c r="C19" s="93">
        <v>2.0</v>
      </c>
    </row>
    <row r="20">
      <c r="A20" s="6" t="s">
        <v>344</v>
      </c>
      <c r="B20" s="84">
        <f>C20/C26</f>
        <v>0.008173663662</v>
      </c>
      <c r="C20" s="93">
        <v>0.6</v>
      </c>
      <c r="E20" s="115"/>
      <c r="F20" s="116" t="s">
        <v>246</v>
      </c>
      <c r="G20" s="116" t="s">
        <v>247</v>
      </c>
      <c r="H20" s="116" t="s">
        <v>248</v>
      </c>
      <c r="I20" s="41"/>
      <c r="J20" s="41"/>
      <c r="K20" s="41"/>
      <c r="L20" s="41"/>
    </row>
    <row r="21">
      <c r="A21" s="6" t="s">
        <v>251</v>
      </c>
      <c r="B21" s="84">
        <f>C21/C26</f>
        <v>0.004631742742</v>
      </c>
      <c r="C21" s="93">
        <v>0.34</v>
      </c>
      <c r="E21" s="6" t="s">
        <v>249</v>
      </c>
      <c r="F21" s="75">
        <v>2.0</v>
      </c>
      <c r="G21" s="97">
        <v>2.0</v>
      </c>
      <c r="H21" s="97">
        <v>2.0</v>
      </c>
      <c r="I21" s="41"/>
      <c r="J21" s="41"/>
      <c r="K21" s="41"/>
      <c r="L21" s="41"/>
    </row>
    <row r="22">
      <c r="A22" s="6" t="s">
        <v>252</v>
      </c>
      <c r="B22" s="84">
        <f t="shared" ref="B22:B23" si="7">C22/$C$26</f>
        <v>0.02724554554</v>
      </c>
      <c r="C22" s="93">
        <v>2.0</v>
      </c>
      <c r="E22" s="6" t="s">
        <v>344</v>
      </c>
      <c r="F22" s="75">
        <v>0.6</v>
      </c>
      <c r="G22" s="75">
        <v>0.6</v>
      </c>
      <c r="H22" s="75">
        <v>0.6</v>
      </c>
      <c r="I22" s="41"/>
      <c r="J22" s="41"/>
      <c r="K22" s="41"/>
      <c r="L22" s="41"/>
    </row>
    <row r="23">
      <c r="A23" s="6" t="s">
        <v>253</v>
      </c>
      <c r="B23" s="84">
        <f t="shared" si="7"/>
        <v>0.02179643643</v>
      </c>
      <c r="C23" s="93">
        <v>1.6</v>
      </c>
      <c r="E23" s="6" t="s">
        <v>251</v>
      </c>
      <c r="F23" s="75">
        <v>0.34</v>
      </c>
      <c r="G23" s="97">
        <v>0.34</v>
      </c>
      <c r="H23" s="97">
        <v>0.34</v>
      </c>
      <c r="I23" s="41"/>
      <c r="J23" s="41"/>
      <c r="K23" s="41"/>
      <c r="L23" s="41"/>
    </row>
    <row r="24">
      <c r="A24" s="6" t="s">
        <v>345</v>
      </c>
      <c r="B24" s="84">
        <f>C24/C26</f>
        <v>0.09263485483</v>
      </c>
      <c r="C24" s="6">
        <v>6.8</v>
      </c>
      <c r="E24" s="6" t="s">
        <v>252</v>
      </c>
      <c r="F24" s="75">
        <v>0.0</v>
      </c>
      <c r="G24" s="97">
        <v>2.0</v>
      </c>
      <c r="H24" s="97">
        <v>2.0</v>
      </c>
    </row>
    <row r="25">
      <c r="A25" s="6" t="s">
        <v>346</v>
      </c>
      <c r="B25" s="84">
        <f>C25/$C$26</f>
        <v>0.03950604103</v>
      </c>
      <c r="C25" s="6">
        <v>2.9</v>
      </c>
      <c r="E25" s="6" t="s">
        <v>253</v>
      </c>
      <c r="F25" s="97">
        <v>1.6</v>
      </c>
      <c r="G25" s="97">
        <v>1.6</v>
      </c>
      <c r="H25" s="97">
        <v>1.6</v>
      </c>
    </row>
    <row r="26">
      <c r="A26" s="44" t="s">
        <v>278</v>
      </c>
      <c r="B26" s="4"/>
      <c r="C26" s="60">
        <f>C18+F28</f>
        <v>73.40649491</v>
      </c>
      <c r="E26" s="6" t="s">
        <v>345</v>
      </c>
      <c r="F26" s="75">
        <v>6.8</v>
      </c>
      <c r="G26" s="75">
        <v>6.8</v>
      </c>
      <c r="H26" s="75">
        <v>6.8</v>
      </c>
    </row>
    <row r="27">
      <c r="E27" s="6" t="s">
        <v>346</v>
      </c>
      <c r="F27" s="75">
        <v>0.0</v>
      </c>
      <c r="G27" s="97">
        <v>2.9</v>
      </c>
      <c r="H27" s="97">
        <v>2.9</v>
      </c>
    </row>
    <row r="28">
      <c r="E28" s="87" t="s">
        <v>227</v>
      </c>
      <c r="F28" s="117">
        <f t="shared" ref="F28:H28" si="8">SUM(F21:F27)</f>
        <v>11.34</v>
      </c>
      <c r="G28" s="117">
        <f t="shared" si="8"/>
        <v>16.24</v>
      </c>
      <c r="H28" s="117">
        <f t="shared" si="8"/>
        <v>16.24</v>
      </c>
    </row>
    <row r="29">
      <c r="A29" s="109" t="s">
        <v>203</v>
      </c>
      <c r="B29" s="109" t="s">
        <v>315</v>
      </c>
      <c r="C29" s="109" t="s">
        <v>316</v>
      </c>
    </row>
    <row r="30">
      <c r="A30" s="6" t="s">
        <v>317</v>
      </c>
      <c r="B30" s="59">
        <f>C26/C33</f>
        <v>0.2097328426</v>
      </c>
      <c r="C30" s="4"/>
    </row>
    <row r="31" ht="15.75" customHeight="1">
      <c r="A31" s="6" t="s">
        <v>318</v>
      </c>
      <c r="B31" s="59">
        <f>F28/C33</f>
        <v>0.0324</v>
      </c>
      <c r="C31" s="4"/>
      <c r="E31" s="100"/>
      <c r="F31" s="100"/>
      <c r="G31" s="100"/>
      <c r="H31" s="100"/>
    </row>
    <row r="32" ht="15.75" customHeight="1">
      <c r="A32" s="6" t="s">
        <v>319</v>
      </c>
      <c r="B32" s="59">
        <f>C18/C33</f>
        <v>0.1773328426</v>
      </c>
      <c r="C32" s="4"/>
      <c r="F32" s="100"/>
      <c r="G32" s="100"/>
      <c r="H32" s="100"/>
    </row>
    <row r="33" ht="15.75" customHeight="1">
      <c r="A33" s="6" t="s">
        <v>308</v>
      </c>
      <c r="B33" s="4"/>
      <c r="C33" s="46">
        <v>350.0</v>
      </c>
    </row>
    <row r="34" ht="15.75" customHeight="1">
      <c r="A34" s="6" t="s">
        <v>347</v>
      </c>
      <c r="B34" s="4"/>
      <c r="C34" s="110">
        <f>C33/0.7</f>
        <v>500</v>
      </c>
    </row>
    <row r="35" ht="15.75" customHeight="1">
      <c r="F35" s="100"/>
      <c r="G35" s="100"/>
      <c r="H35" s="100"/>
    </row>
    <row r="36" ht="15.75" customHeight="1">
      <c r="F36" s="40"/>
      <c r="G36" s="40"/>
      <c r="H36" s="40"/>
    </row>
    <row r="37" ht="15.75" customHeight="1">
      <c r="C37" s="118"/>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row r="1010" ht="15.75" customHeight="1">
      <c r="F1010" s="41"/>
    </row>
  </sheetData>
  <autoFilter ref="$A$3:$H$10">
    <sortState ref="A3:H10">
      <sortCondition descending="1" ref="H3:H10"/>
    </sortState>
  </autoFilter>
  <mergeCells count="6">
    <mergeCell ref="A1:A2"/>
    <mergeCell ref="B1:I2"/>
    <mergeCell ref="I4:I10"/>
    <mergeCell ref="A13:I13"/>
    <mergeCell ref="A14:I14"/>
    <mergeCell ref="A16:L16"/>
  </mergeCells>
  <conditionalFormatting sqref="H4:H10">
    <cfRule type="colorScale" priority="1">
      <colorScale>
        <cfvo type="min"/>
        <cfvo type="max"/>
        <color rgb="FFFFFFFF"/>
        <color rgb="FFE67C73"/>
      </colorScale>
    </cfRule>
  </conditionalFormatting>
  <conditionalFormatting sqref="E17:L17 M18">
    <cfRule type="colorScale" priority="2">
      <colorScale>
        <cfvo type="min"/>
        <cfvo type="percentile" val="50"/>
        <cfvo type="max"/>
        <color rgb="FF57BB8A"/>
        <color rgb="FFFFD666"/>
        <color rgb="FFE67C73"/>
      </colorScale>
    </cfRule>
  </conditionalFormatting>
  <conditionalFormatting sqref="B30:B32">
    <cfRule type="cellIs" dxfId="0" priority="3" operator="greaterThan">
      <formula>26</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9.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348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339</v>
      </c>
      <c r="B4" s="6">
        <v>83.0</v>
      </c>
      <c r="C4" s="6">
        <f>B4</f>
        <v>83</v>
      </c>
      <c r="D4" s="4" t="s">
        <v>6</v>
      </c>
      <c r="E4" s="6">
        <f>B4-C4</f>
        <v>0</v>
      </c>
      <c r="F4" s="5">
        <f t="shared" ref="F4:F10" si="1">E4/B4*100</f>
        <v>0</v>
      </c>
      <c r="G4" s="106">
        <f>'пф курица готовая'!G6/'пф курица готовая'!I6*B4</f>
        <v>42.67764618</v>
      </c>
      <c r="H4" s="59">
        <f t="shared" ref="H4:H5" si="2">G4/$G$11</f>
        <v>0.4254263001</v>
      </c>
      <c r="I4" s="103"/>
    </row>
    <row r="5">
      <c r="A5" s="6" t="s">
        <v>331</v>
      </c>
      <c r="B5" s="6">
        <v>100.0</v>
      </c>
      <c r="C5" s="6">
        <v>100.0</v>
      </c>
      <c r="D5" s="6" t="s">
        <v>6</v>
      </c>
      <c r="E5" s="6">
        <v>0.0</v>
      </c>
      <c r="F5" s="5">
        <f t="shared" si="1"/>
        <v>0</v>
      </c>
      <c r="G5" s="106">
        <f>'пф Лаваш Искенди'!G6</f>
        <v>18.83944</v>
      </c>
      <c r="H5" s="59">
        <f t="shared" si="2"/>
        <v>0.1877983903</v>
      </c>
      <c r="I5" s="81"/>
    </row>
    <row r="6">
      <c r="A6" s="6" t="s">
        <v>104</v>
      </c>
      <c r="B6" s="6">
        <v>30.0</v>
      </c>
      <c r="C6" s="6">
        <v>30.0</v>
      </c>
      <c r="D6" s="4" t="s">
        <v>6</v>
      </c>
      <c r="E6" s="6">
        <f t="shared" ref="E6:E11" si="3">B6-C6</f>
        <v>0</v>
      </c>
      <c r="F6" s="5">
        <f t="shared" si="1"/>
        <v>0</v>
      </c>
      <c r="G6" s="5">
        <f>VLOOKUP(A6,'Матрица поставщиков'!A1:E53,5,0) * B6</f>
        <v>10.5</v>
      </c>
      <c r="H6" s="59">
        <f>G6/G11</f>
        <v>0.1046678191</v>
      </c>
      <c r="I6" s="81"/>
    </row>
    <row r="7" ht="15.75" customHeight="1">
      <c r="A7" s="6" t="s">
        <v>341</v>
      </c>
      <c r="B7" s="6">
        <v>140.0</v>
      </c>
      <c r="C7" s="6">
        <v>52.0</v>
      </c>
      <c r="D7" s="4" t="s">
        <v>12</v>
      </c>
      <c r="E7" s="6">
        <f t="shared" si="3"/>
        <v>88</v>
      </c>
      <c r="F7" s="5">
        <f t="shared" si="1"/>
        <v>62.85714286</v>
      </c>
      <c r="G7" s="5">
        <f>('пф искандер соус'!G11/'пф искандер соус'!I11)*B7</f>
        <v>5.06268</v>
      </c>
      <c r="H7" s="59">
        <f t="shared" ref="H7:H10" si="4">G7/$G$11</f>
        <v>0.05046663566</v>
      </c>
      <c r="I7" s="81"/>
    </row>
    <row r="8">
      <c r="A8" s="6" t="s">
        <v>24</v>
      </c>
      <c r="B8" s="6">
        <v>30.0</v>
      </c>
      <c r="C8" s="6">
        <v>30.0</v>
      </c>
      <c r="D8" s="4" t="s">
        <v>6</v>
      </c>
      <c r="E8" s="6">
        <f t="shared" si="3"/>
        <v>0</v>
      </c>
      <c r="F8" s="5">
        <f t="shared" si="1"/>
        <v>0</v>
      </c>
      <c r="G8" s="5">
        <f>VLOOKUP(A8,'Матрица поставщиков'!A1:E57,5,0) * B8</f>
        <v>10.94</v>
      </c>
      <c r="H8" s="59">
        <f t="shared" si="4"/>
        <v>0.1090538991</v>
      </c>
      <c r="I8" s="81"/>
    </row>
    <row r="9">
      <c r="A9" s="6" t="s">
        <v>34</v>
      </c>
      <c r="B9" s="6">
        <v>30.0</v>
      </c>
      <c r="C9" s="6">
        <v>25.0</v>
      </c>
      <c r="D9" s="4" t="s">
        <v>6</v>
      </c>
      <c r="E9" s="6">
        <f t="shared" si="3"/>
        <v>5</v>
      </c>
      <c r="F9" s="5">
        <f t="shared" si="1"/>
        <v>16.66666667</v>
      </c>
      <c r="G9" s="5">
        <f>VLOOKUP(A9,'Матрица поставщиков'!A1:E530,5,0) * B9</f>
        <v>5.29</v>
      </c>
      <c r="H9" s="59">
        <f t="shared" si="4"/>
        <v>0.0527326441</v>
      </c>
      <c r="I9" s="81"/>
    </row>
    <row r="10">
      <c r="A10" s="6" t="s">
        <v>342</v>
      </c>
      <c r="B10" s="6">
        <v>22.0</v>
      </c>
      <c r="C10" s="6">
        <v>22.0</v>
      </c>
      <c r="D10" s="4" t="s">
        <v>6</v>
      </c>
      <c r="E10" s="6">
        <f t="shared" si="3"/>
        <v>0</v>
      </c>
      <c r="F10" s="5">
        <f t="shared" si="1"/>
        <v>0</v>
      </c>
      <c r="G10" s="106">
        <f>('пф Фри'!G7/'пф Фри'!I7) * B10</f>
        <v>7.0076006</v>
      </c>
      <c r="H10" s="59">
        <f t="shared" si="4"/>
        <v>0.06985431162</v>
      </c>
      <c r="I10" s="52"/>
    </row>
    <row r="11">
      <c r="A11" s="44" t="s">
        <v>227</v>
      </c>
      <c r="B11" s="4">
        <f t="shared" ref="B11:C11" si="5">SUM(B4:B10)</f>
        <v>435</v>
      </c>
      <c r="C11" s="4">
        <f t="shared" si="5"/>
        <v>342</v>
      </c>
      <c r="D11" s="82" t="s">
        <v>275</v>
      </c>
      <c r="E11" s="6">
        <f t="shared" si="3"/>
        <v>93</v>
      </c>
      <c r="F11" s="82" t="s">
        <v>275</v>
      </c>
      <c r="G11" s="60">
        <f t="shared" ref="G11:H11" si="6">SUM(G4:G10)</f>
        <v>100.3173668</v>
      </c>
      <c r="H11" s="61">
        <f t="shared" si="6"/>
        <v>1</v>
      </c>
      <c r="I11" s="108">
        <f>B11-E11</f>
        <v>342</v>
      </c>
    </row>
    <row r="12">
      <c r="F12" s="41"/>
    </row>
    <row r="13">
      <c r="A13" s="63" t="s">
        <v>238</v>
      </c>
    </row>
    <row r="14">
      <c r="A14" s="65" t="s">
        <v>343</v>
      </c>
      <c r="J14" s="65"/>
      <c r="K14" s="65"/>
      <c r="L14" s="65"/>
      <c r="M14" s="65"/>
      <c r="N14" s="65"/>
      <c r="O14" s="65"/>
      <c r="P14" s="65"/>
      <c r="Q14" s="65"/>
      <c r="R14" s="65"/>
      <c r="S14" s="65"/>
    </row>
    <row r="15">
      <c r="A15" s="70"/>
      <c r="F15" s="41"/>
    </row>
    <row r="16">
      <c r="A16" s="67" t="s">
        <v>241</v>
      </c>
      <c r="B16" s="68"/>
      <c r="C16" s="68"/>
      <c r="D16" s="68"/>
      <c r="E16" s="68"/>
      <c r="F16" s="68"/>
      <c r="G16" s="68"/>
      <c r="H16" s="68"/>
      <c r="I16" s="68"/>
      <c r="J16" s="68"/>
      <c r="K16" s="68"/>
      <c r="L16" s="69"/>
    </row>
    <row r="17">
      <c r="A17" s="44" t="s">
        <v>300</v>
      </c>
      <c r="B17" s="44" t="s">
        <v>301</v>
      </c>
      <c r="C17" s="44" t="s">
        <v>242</v>
      </c>
      <c r="F17" s="41"/>
    </row>
    <row r="18">
      <c r="A18" s="6" t="s">
        <v>277</v>
      </c>
      <c r="B18" s="84">
        <f>C18/C26</f>
        <v>0.8606694673</v>
      </c>
      <c r="C18" s="34">
        <f>G11</f>
        <v>100.3173668</v>
      </c>
      <c r="E18" s="72" t="s">
        <v>244</v>
      </c>
      <c r="F18" s="6">
        <v>25.0</v>
      </c>
      <c r="G18" s="6">
        <v>26.0</v>
      </c>
      <c r="H18" s="6">
        <v>27.0</v>
      </c>
      <c r="I18" s="6">
        <v>27.75</v>
      </c>
      <c r="J18" s="6">
        <v>29.0</v>
      </c>
      <c r="K18" s="6">
        <v>30.0</v>
      </c>
      <c r="L18" s="6">
        <v>31.0</v>
      </c>
    </row>
    <row r="19">
      <c r="A19" s="6" t="s">
        <v>249</v>
      </c>
      <c r="B19" s="84">
        <f>C19/C26</f>
        <v>0.01715893259</v>
      </c>
      <c r="C19" s="93">
        <v>2.0</v>
      </c>
      <c r="E19" s="72" t="s">
        <v>245</v>
      </c>
      <c r="F19" s="73">
        <f>C26*100/F18</f>
        <v>466.2294671</v>
      </c>
      <c r="G19" s="73">
        <f>C26*100/G18</f>
        <v>448.2975646</v>
      </c>
      <c r="H19" s="73">
        <f>C26*100/H18</f>
        <v>431.6939511</v>
      </c>
      <c r="I19" s="73">
        <f>C26*100/I18</f>
        <v>420.026547</v>
      </c>
      <c r="J19" s="73">
        <f>C26*100/J18</f>
        <v>401.9219544</v>
      </c>
      <c r="K19" s="73">
        <f>C26*100/K18</f>
        <v>388.5245559</v>
      </c>
      <c r="L19" s="73">
        <f>C26*100/L18</f>
        <v>375.9915058</v>
      </c>
    </row>
    <row r="20">
      <c r="A20" s="6" t="s">
        <v>344</v>
      </c>
      <c r="B20" s="84">
        <f>C20/C26</f>
        <v>0.005147679778</v>
      </c>
      <c r="C20" s="93">
        <v>0.6</v>
      </c>
      <c r="F20" s="41"/>
      <c r="G20" s="41"/>
      <c r="H20" s="41"/>
      <c r="I20" s="41"/>
      <c r="J20" s="41"/>
      <c r="K20" s="41"/>
      <c r="L20" s="41"/>
    </row>
    <row r="21">
      <c r="A21" s="6" t="s">
        <v>251</v>
      </c>
      <c r="B21" s="84">
        <f>C21/C26</f>
        <v>0.002917018541</v>
      </c>
      <c r="C21" s="93">
        <v>0.34</v>
      </c>
      <c r="F21" s="41"/>
      <c r="G21" s="41"/>
      <c r="H21" s="41"/>
      <c r="I21" s="41"/>
      <c r="J21" s="41"/>
      <c r="K21" s="41"/>
      <c r="L21" s="41"/>
    </row>
    <row r="22">
      <c r="A22" s="6" t="s">
        <v>252</v>
      </c>
      <c r="B22" s="84">
        <f t="shared" ref="B22:B23" si="7">C22/$C$26</f>
        <v>0.01715893259</v>
      </c>
      <c r="C22" s="93">
        <v>2.0</v>
      </c>
      <c r="E22" s="115"/>
      <c r="F22" s="116" t="s">
        <v>246</v>
      </c>
      <c r="G22" s="116" t="s">
        <v>247</v>
      </c>
      <c r="H22" s="116" t="s">
        <v>248</v>
      </c>
      <c r="I22" s="41"/>
      <c r="J22" s="41"/>
      <c r="K22" s="41"/>
      <c r="L22" s="41"/>
    </row>
    <row r="23">
      <c r="A23" s="6" t="s">
        <v>253</v>
      </c>
      <c r="B23" s="84">
        <f t="shared" si="7"/>
        <v>0.01372714608</v>
      </c>
      <c r="C23" s="93">
        <v>1.6</v>
      </c>
      <c r="E23" s="6" t="s">
        <v>249</v>
      </c>
      <c r="F23" s="75">
        <v>2.0</v>
      </c>
      <c r="G23" s="97">
        <v>2.0</v>
      </c>
      <c r="H23" s="97">
        <v>2.0</v>
      </c>
      <c r="I23" s="41"/>
      <c r="J23" s="41"/>
      <c r="K23" s="41"/>
      <c r="L23" s="41"/>
    </row>
    <row r="24">
      <c r="A24" s="6" t="s">
        <v>345</v>
      </c>
      <c r="B24" s="84">
        <f>C24/C26</f>
        <v>0.05834037082</v>
      </c>
      <c r="C24" s="6">
        <v>6.8</v>
      </c>
      <c r="E24" s="6" t="s">
        <v>344</v>
      </c>
      <c r="F24" s="75">
        <v>0.6</v>
      </c>
      <c r="G24" s="75">
        <v>0.6</v>
      </c>
      <c r="H24" s="75">
        <v>0.6</v>
      </c>
    </row>
    <row r="25">
      <c r="A25" s="6" t="s">
        <v>346</v>
      </c>
      <c r="B25" s="84">
        <f>C25/$C$26</f>
        <v>0.02488045226</v>
      </c>
      <c r="C25" s="6">
        <v>2.9</v>
      </c>
      <c r="E25" s="6" t="s">
        <v>251</v>
      </c>
      <c r="F25" s="75">
        <v>0.34</v>
      </c>
      <c r="G25" s="97">
        <v>0.34</v>
      </c>
      <c r="H25" s="97">
        <v>0.34</v>
      </c>
    </row>
    <row r="26">
      <c r="A26" s="44" t="s">
        <v>278</v>
      </c>
      <c r="B26" s="4"/>
      <c r="C26" s="60">
        <f>C18+G30</f>
        <v>116.5573668</v>
      </c>
      <c r="E26" s="6" t="s">
        <v>252</v>
      </c>
      <c r="F26" s="75">
        <v>0.0</v>
      </c>
      <c r="G26" s="97">
        <v>2.0</v>
      </c>
      <c r="H26" s="97">
        <v>2.0</v>
      </c>
    </row>
    <row r="27">
      <c r="E27" s="6" t="s">
        <v>253</v>
      </c>
      <c r="F27" s="97">
        <v>1.6</v>
      </c>
      <c r="G27" s="97">
        <v>1.6</v>
      </c>
      <c r="H27" s="97">
        <v>1.6</v>
      </c>
    </row>
    <row r="28">
      <c r="E28" s="6" t="s">
        <v>345</v>
      </c>
      <c r="F28" s="75">
        <v>6.8</v>
      </c>
      <c r="G28" s="75">
        <v>6.8</v>
      </c>
      <c r="H28" s="75">
        <v>6.8</v>
      </c>
    </row>
    <row r="29">
      <c r="A29" s="109" t="s">
        <v>203</v>
      </c>
      <c r="B29" s="109" t="s">
        <v>315</v>
      </c>
      <c r="C29" s="109" t="s">
        <v>316</v>
      </c>
      <c r="E29" s="6" t="s">
        <v>346</v>
      </c>
      <c r="F29" s="75">
        <v>0.0</v>
      </c>
      <c r="G29" s="97">
        <v>2.9</v>
      </c>
      <c r="H29" s="97">
        <v>2.9</v>
      </c>
    </row>
    <row r="30">
      <c r="A30" s="6" t="s">
        <v>317</v>
      </c>
      <c r="B30" s="59">
        <f>C26/C33</f>
        <v>0.2590163706</v>
      </c>
      <c r="C30" s="4"/>
      <c r="E30" s="87" t="s">
        <v>227</v>
      </c>
      <c r="F30" s="117">
        <f t="shared" ref="F30:H30" si="8">SUM(F23:F29)</f>
        <v>11.34</v>
      </c>
      <c r="G30" s="117">
        <f t="shared" si="8"/>
        <v>16.24</v>
      </c>
      <c r="H30" s="117">
        <f t="shared" si="8"/>
        <v>16.24</v>
      </c>
    </row>
    <row r="31" ht="15.75" customHeight="1">
      <c r="A31" s="6" t="s">
        <v>318</v>
      </c>
      <c r="B31" s="59">
        <f>F30/C33</f>
        <v>0.0252</v>
      </c>
      <c r="C31" s="4"/>
      <c r="E31" s="100"/>
      <c r="F31" s="100"/>
      <c r="G31" s="100"/>
      <c r="H31" s="100"/>
    </row>
    <row r="32" ht="15.75" customHeight="1">
      <c r="A32" s="6" t="s">
        <v>319</v>
      </c>
      <c r="B32" s="59">
        <f>C18/C33</f>
        <v>0.2229274817</v>
      </c>
      <c r="C32" s="4"/>
      <c r="F32" s="100"/>
      <c r="G32" s="100"/>
      <c r="H32" s="100"/>
    </row>
    <row r="33" ht="15.75" customHeight="1">
      <c r="A33" s="6" t="s">
        <v>320</v>
      </c>
      <c r="B33" s="4"/>
      <c r="C33" s="46">
        <v>450.0</v>
      </c>
    </row>
    <row r="34" ht="15.75" customHeight="1">
      <c r="A34" s="6" t="s">
        <v>321</v>
      </c>
      <c r="B34" s="4"/>
      <c r="C34" s="110">
        <f>C33/0.7</f>
        <v>642.8571429</v>
      </c>
    </row>
    <row r="35" ht="15.75" customHeight="1">
      <c r="F35" s="100"/>
      <c r="G35" s="100"/>
      <c r="H35" s="100"/>
    </row>
    <row r="36" ht="15.75" customHeight="1">
      <c r="F36" s="40"/>
      <c r="G36" s="40"/>
      <c r="H36" s="40"/>
    </row>
    <row r="37" ht="15.75" customHeight="1">
      <c r="C37" s="118"/>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row r="1010" ht="15.75" customHeight="1">
      <c r="F1010" s="41"/>
    </row>
  </sheetData>
  <autoFilter ref="$A$3:$H$10">
    <sortState ref="A3:H10">
      <sortCondition descending="1" ref="H3:H10"/>
    </sortState>
  </autoFilter>
  <mergeCells count="6">
    <mergeCell ref="A1:A2"/>
    <mergeCell ref="B1:I2"/>
    <mergeCell ref="I4:I10"/>
    <mergeCell ref="A13:I13"/>
    <mergeCell ref="A14:I14"/>
    <mergeCell ref="A16:L16"/>
  </mergeCells>
  <conditionalFormatting sqref="H4:H10">
    <cfRule type="colorScale" priority="1">
      <colorScale>
        <cfvo type="min"/>
        <cfvo type="max"/>
        <color rgb="FFFFFFFF"/>
        <color rgb="FFE67C73"/>
      </colorScale>
    </cfRule>
  </conditionalFormatting>
  <conditionalFormatting sqref="E18:M18">
    <cfRule type="colorScale" priority="2">
      <colorScale>
        <cfvo type="min"/>
        <cfvo type="percentile" val="50"/>
        <cfvo type="max"/>
        <color rgb="FF57BB8A"/>
        <color rgb="FFFFD666"/>
        <color rgb="FFE67C73"/>
      </colorScale>
    </cfRule>
  </conditionalFormatting>
  <conditionalFormatting sqref="B30:B32">
    <cfRule type="cellIs" dxfId="0" priority="3" operator="greaterThan">
      <formula>26</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4.43" defaultRowHeight="15.0"/>
  <cols>
    <col customWidth="1" min="1" max="1" width="32.14"/>
    <col customWidth="1" min="2" max="2" width="23.57"/>
    <col customWidth="1" min="3" max="3" width="11.14"/>
    <col customWidth="1" min="4" max="4" width="8.57"/>
    <col customWidth="1" min="5" max="5" width="8.0"/>
    <col customWidth="1" min="6" max="6" width="20.14"/>
    <col customWidth="1" min="7" max="8" width="15.29"/>
    <col customWidth="1" min="9" max="9" width="8.71"/>
    <col customWidth="1" min="10" max="11" width="8.0"/>
    <col customWidth="1" min="12" max="15" width="5.43"/>
    <col customWidth="1" min="16" max="28" width="8.71"/>
  </cols>
  <sheetData>
    <row r="1">
      <c r="A1" s="101" t="s">
        <v>228</v>
      </c>
      <c r="B1" s="49" t="s">
        <v>349</v>
      </c>
      <c r="C1" s="50"/>
      <c r="D1" s="50"/>
      <c r="E1" s="50"/>
      <c r="F1" s="50"/>
      <c r="G1" s="50"/>
      <c r="H1" s="50"/>
      <c r="I1" s="51"/>
      <c r="K1" s="72" t="s">
        <v>244</v>
      </c>
      <c r="L1" s="6">
        <v>25.0</v>
      </c>
      <c r="M1" s="6">
        <v>26.0</v>
      </c>
      <c r="N1" s="6">
        <v>27.0</v>
      </c>
      <c r="O1" s="6">
        <v>27.75</v>
      </c>
      <c r="P1" s="6">
        <v>29.0</v>
      </c>
      <c r="Q1" s="6">
        <v>30.0</v>
      </c>
      <c r="R1" s="6">
        <v>31.0</v>
      </c>
    </row>
    <row r="2">
      <c r="A2" s="52"/>
      <c r="B2" s="53"/>
      <c r="C2" s="54"/>
      <c r="D2" s="54"/>
      <c r="E2" s="54"/>
      <c r="F2" s="54"/>
      <c r="G2" s="54"/>
      <c r="H2" s="54"/>
      <c r="I2" s="55"/>
      <c r="K2" s="72" t="s">
        <v>245</v>
      </c>
      <c r="L2" s="73" t="str">
        <f>D8*100/L1</f>
        <v>#REF!</v>
      </c>
      <c r="M2" s="73" t="str">
        <f>D8*100/M1</f>
        <v>#REF!</v>
      </c>
      <c r="N2" s="119" t="str">
        <f>D8*100/N1</f>
        <v>#REF!</v>
      </c>
      <c r="O2" s="73" t="str">
        <f>D8*100/O1</f>
        <v>#REF!</v>
      </c>
      <c r="P2" s="73" t="str">
        <f>D8*100/P1</f>
        <v>#REF!</v>
      </c>
      <c r="Q2" s="73" t="str">
        <f>D8*100/Q1</f>
        <v>#REF!</v>
      </c>
      <c r="R2" s="73" t="str">
        <f>D8*100/R1</f>
        <v>#REF!</v>
      </c>
    </row>
    <row r="3">
      <c r="A3" s="56" t="s">
        <v>0</v>
      </c>
      <c r="B3" s="57" t="s">
        <v>350</v>
      </c>
      <c r="C3" s="56" t="s">
        <v>1</v>
      </c>
      <c r="D3" s="57" t="s">
        <v>234</v>
      </c>
      <c r="E3" s="57" t="s">
        <v>235</v>
      </c>
      <c r="F3" s="57" t="s">
        <v>351</v>
      </c>
      <c r="G3" s="57" t="s">
        <v>352</v>
      </c>
      <c r="H3" s="57" t="s">
        <v>353</v>
      </c>
      <c r="I3" s="57" t="s">
        <v>354</v>
      </c>
    </row>
    <row r="4">
      <c r="A4" s="6" t="s">
        <v>355</v>
      </c>
      <c r="B4" s="6">
        <v>350.0</v>
      </c>
      <c r="C4" s="4" t="s">
        <v>6</v>
      </c>
      <c r="D4" s="106" t="str">
        <f>'Дюрюм'!C18</f>
        <v>#REF!</v>
      </c>
      <c r="E4" s="59" t="str">
        <f t="shared" ref="E4:E7" si="1">D4/$D$8</f>
        <v>#REF!</v>
      </c>
      <c r="F4" s="6" t="str">
        <f>'Дюрюм'!B33</f>
        <v>#REF!</v>
      </c>
      <c r="G4" s="80"/>
      <c r="H4" s="80"/>
      <c r="I4" s="80"/>
    </row>
    <row r="5">
      <c r="A5" s="6" t="s">
        <v>356</v>
      </c>
      <c r="B5" s="6">
        <v>100.0</v>
      </c>
      <c r="C5" s="4" t="s">
        <v>6</v>
      </c>
      <c r="D5" s="106">
        <f>'Фри на продажу'!D18</f>
        <v>33.452985</v>
      </c>
      <c r="E5" s="59" t="str">
        <f t="shared" si="1"/>
        <v>#REF!</v>
      </c>
      <c r="F5" s="120">
        <v>230.0</v>
      </c>
      <c r="G5" s="81"/>
      <c r="H5" s="81"/>
      <c r="I5" s="81"/>
    </row>
    <row r="6">
      <c r="A6" s="6" t="s">
        <v>357</v>
      </c>
      <c r="B6" s="6">
        <v>30.0</v>
      </c>
      <c r="C6" s="4" t="s">
        <v>6</v>
      </c>
      <c r="D6" s="106" t="str">
        <f>'Сырный соус'!D15</f>
        <v/>
      </c>
      <c r="E6" s="59" t="str">
        <f t="shared" si="1"/>
        <v>#REF!</v>
      </c>
      <c r="F6" s="6">
        <v>70.0</v>
      </c>
      <c r="G6" s="81"/>
      <c r="H6" s="81"/>
      <c r="I6" s="81"/>
    </row>
    <row r="7">
      <c r="A7" s="6" t="s">
        <v>358</v>
      </c>
      <c r="B7" s="6"/>
      <c r="C7" s="6"/>
      <c r="D7" s="106">
        <f>VLOOKUP(F13,'Матрица поставщиков'!A1:E530,5,0)</f>
        <v>52</v>
      </c>
      <c r="E7" s="59" t="str">
        <f t="shared" si="1"/>
        <v>#REF!</v>
      </c>
      <c r="F7" s="6">
        <v>190.0</v>
      </c>
      <c r="G7" s="52"/>
      <c r="H7" s="52"/>
      <c r="I7" s="52"/>
    </row>
    <row r="8">
      <c r="A8" s="44" t="s">
        <v>227</v>
      </c>
      <c r="B8" s="4">
        <f>SUM(B4:B7)</f>
        <v>480</v>
      </c>
      <c r="C8" s="82" t="s">
        <v>275</v>
      </c>
      <c r="D8" s="60" t="str">
        <f t="shared" ref="D8:F8" si="2">SUM(D4:D7)</f>
        <v>#REF!</v>
      </c>
      <c r="E8" s="61" t="str">
        <f t="shared" si="2"/>
        <v>#REF!</v>
      </c>
      <c r="F8" s="104" t="str">
        <f t="shared" si="2"/>
        <v>#REF!</v>
      </c>
      <c r="G8" s="121">
        <v>850.0</v>
      </c>
      <c r="H8" s="122" t="str">
        <f>F8/G8-100%</f>
        <v>#REF!</v>
      </c>
      <c r="I8" s="123" t="str">
        <f>D8/G8</f>
        <v>#REF!</v>
      </c>
      <c r="J8" s="38" t="str">
        <f>D8/G8</f>
        <v>#REF!</v>
      </c>
      <c r="K8" s="38">
        <f>J25/G8</f>
        <v>0.04656470588</v>
      </c>
      <c r="L8" s="38" t="str">
        <f>(D8+J25)/G8</f>
        <v>#REF!</v>
      </c>
    </row>
    <row r="9">
      <c r="G9" s="124"/>
    </row>
    <row r="10">
      <c r="F10" s="15" t="s">
        <v>248</v>
      </c>
      <c r="G10" s="15">
        <v>1360.0</v>
      </c>
    </row>
    <row r="11">
      <c r="J11" s="65"/>
      <c r="K11" s="65"/>
      <c r="L11" s="65"/>
      <c r="M11" s="65"/>
      <c r="N11" s="65"/>
      <c r="O11" s="65"/>
      <c r="P11" s="65"/>
      <c r="Q11" s="65"/>
      <c r="R11" s="65"/>
    </row>
    <row r="12">
      <c r="I12" s="65"/>
    </row>
    <row r="13">
      <c r="F13" s="15" t="s">
        <v>171</v>
      </c>
      <c r="H13" s="94" t="s">
        <v>246</v>
      </c>
      <c r="I13" s="94" t="s">
        <v>247</v>
      </c>
      <c r="J13" s="94" t="s">
        <v>248</v>
      </c>
    </row>
    <row r="14">
      <c r="G14" s="6" t="s">
        <v>249</v>
      </c>
      <c r="H14" s="95">
        <v>2.0</v>
      </c>
      <c r="I14" s="96">
        <v>2.0</v>
      </c>
      <c r="J14" s="96">
        <v>2.0</v>
      </c>
    </row>
    <row r="15">
      <c r="G15" s="6" t="s">
        <v>250</v>
      </c>
      <c r="H15" s="75">
        <v>1.2</v>
      </c>
      <c r="I15" s="97">
        <v>1.2</v>
      </c>
      <c r="J15" s="97">
        <v>1.2</v>
      </c>
    </row>
    <row r="16">
      <c r="G16" s="6" t="s">
        <v>251</v>
      </c>
      <c r="H16" s="75">
        <v>0.34</v>
      </c>
      <c r="I16" s="97">
        <v>0.34</v>
      </c>
      <c r="J16" s="97">
        <v>0.34</v>
      </c>
    </row>
    <row r="17">
      <c r="G17" s="6" t="s">
        <v>252</v>
      </c>
      <c r="H17" s="95">
        <v>0.0</v>
      </c>
      <c r="I17" s="96">
        <v>2.0</v>
      </c>
      <c r="J17" s="96">
        <v>2.0</v>
      </c>
    </row>
    <row r="18">
      <c r="G18" s="6" t="s">
        <v>253</v>
      </c>
      <c r="H18" s="75">
        <v>7.5</v>
      </c>
      <c r="I18" s="97">
        <v>7.5</v>
      </c>
      <c r="J18" s="97">
        <v>7.5</v>
      </c>
    </row>
    <row r="19">
      <c r="G19" s="6" t="s">
        <v>345</v>
      </c>
      <c r="H19" s="95">
        <v>6.8</v>
      </c>
      <c r="I19" s="96">
        <v>6.1</v>
      </c>
      <c r="J19" s="96">
        <v>6.1</v>
      </c>
    </row>
    <row r="20">
      <c r="G20" s="6" t="s">
        <v>346</v>
      </c>
      <c r="H20" s="95">
        <v>0.0</v>
      </c>
      <c r="I20" s="96">
        <v>2.9</v>
      </c>
      <c r="J20" s="96">
        <v>2.9</v>
      </c>
    </row>
    <row r="21" ht="15.75" customHeight="1">
      <c r="G21" s="15" t="s">
        <v>254</v>
      </c>
      <c r="H21" s="95">
        <v>4.52</v>
      </c>
      <c r="I21" s="99">
        <v>4.52</v>
      </c>
      <c r="J21" s="99">
        <v>4.52</v>
      </c>
    </row>
    <row r="22" ht="15.75" customHeight="1">
      <c r="G22" s="6" t="s">
        <v>359</v>
      </c>
      <c r="H22" s="95">
        <v>2.7</v>
      </c>
      <c r="I22" s="95">
        <v>2.7</v>
      </c>
      <c r="J22" s="95">
        <v>2.7</v>
      </c>
    </row>
    <row r="23" ht="15.75" customHeight="1">
      <c r="G23" s="6" t="s">
        <v>255</v>
      </c>
      <c r="H23" s="95">
        <v>0.0</v>
      </c>
      <c r="I23" s="95">
        <v>1.52</v>
      </c>
      <c r="J23" s="95">
        <v>1.52</v>
      </c>
    </row>
    <row r="24" ht="15.75" customHeight="1">
      <c r="G24" s="15" t="s">
        <v>360</v>
      </c>
      <c r="H24" s="95">
        <v>8.8</v>
      </c>
      <c r="I24" s="95">
        <v>8.8</v>
      </c>
      <c r="J24" s="95">
        <v>8.8</v>
      </c>
    </row>
    <row r="25" ht="15.75" customHeight="1">
      <c r="F25" s="41"/>
      <c r="H25" s="100">
        <f t="shared" ref="H25:J25" si="3">SUM(H14:H24)</f>
        <v>33.86</v>
      </c>
      <c r="I25" s="100">
        <f t="shared" si="3"/>
        <v>39.58</v>
      </c>
      <c r="J25" s="100">
        <f t="shared" si="3"/>
        <v>39.58</v>
      </c>
    </row>
    <row r="26" ht="15.75" customHeight="1">
      <c r="F26" s="41"/>
      <c r="H26" s="100"/>
      <c r="I26" s="100"/>
      <c r="J26" s="100"/>
    </row>
    <row r="27" ht="15.75" customHeight="1">
      <c r="H27" s="100"/>
      <c r="I27" s="100"/>
      <c r="J27" s="100" t="str">
        <f>D8+J25</f>
        <v>#REF!</v>
      </c>
    </row>
    <row r="28" ht="15.75" customHeight="1"/>
    <row r="29" ht="15.75" customHeight="1">
      <c r="F29" s="41"/>
    </row>
    <row r="30" ht="15.75" customHeight="1">
      <c r="F30" s="4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A2"/>
    <mergeCell ref="B1:I2"/>
    <mergeCell ref="G4:G7"/>
    <mergeCell ref="H4:H7"/>
    <mergeCell ref="I4:I7"/>
  </mergeCells>
  <conditionalFormatting sqref="E4:E7">
    <cfRule type="colorScale" priority="1">
      <colorScale>
        <cfvo type="min"/>
        <cfvo type="max"/>
        <color rgb="FFFFFFFF"/>
        <color rgb="FFE67C73"/>
      </colorScale>
    </cfRule>
  </conditionalFormatting>
  <conditionalFormatting sqref="K1:R1 E25 M27">
    <cfRule type="colorScale" priority="2">
      <colorScale>
        <cfvo type="min"/>
        <cfvo type="percentile" val="50"/>
        <cfvo type="max"/>
        <color rgb="FF57BB8A"/>
        <color rgb="FFFFD666"/>
        <color rgb="FFE67C73"/>
      </colorScale>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9.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348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339</v>
      </c>
      <c r="B4" s="6">
        <v>83.0</v>
      </c>
      <c r="C4" s="6">
        <f>B4</f>
        <v>83</v>
      </c>
      <c r="D4" s="4" t="s">
        <v>6</v>
      </c>
      <c r="E4" s="6">
        <f>B4-C4</f>
        <v>0</v>
      </c>
      <c r="F4" s="5">
        <f t="shared" ref="F4:F11" si="1">E4/B4*100</f>
        <v>0</v>
      </c>
      <c r="G4" s="106">
        <f>'пф курица готовая'!G6/'пф курица готовая'!I6*B4</f>
        <v>42.67764618</v>
      </c>
      <c r="H4" s="59">
        <f t="shared" ref="H4:H5" si="2">G4/$G$12</f>
        <v>0.3746426235</v>
      </c>
      <c r="I4" s="103"/>
    </row>
    <row r="5">
      <c r="A5" s="6" t="s">
        <v>331</v>
      </c>
      <c r="B5" s="6">
        <v>100.0</v>
      </c>
      <c r="C5" s="6">
        <v>100.0</v>
      </c>
      <c r="D5" s="6" t="s">
        <v>6</v>
      </c>
      <c r="E5" s="6">
        <v>0.0</v>
      </c>
      <c r="F5" s="5">
        <f t="shared" si="1"/>
        <v>0</v>
      </c>
      <c r="G5" s="106">
        <f>'пф Лаваш Искенди'!G6</f>
        <v>18.83944</v>
      </c>
      <c r="H5" s="59">
        <f t="shared" si="2"/>
        <v>0.1653806584</v>
      </c>
      <c r="I5" s="81"/>
    </row>
    <row r="6">
      <c r="A6" s="6" t="s">
        <v>104</v>
      </c>
      <c r="B6" s="6">
        <v>30.0</v>
      </c>
      <c r="C6" s="6">
        <v>30.0</v>
      </c>
      <c r="D6" s="4" t="s">
        <v>6</v>
      </c>
      <c r="E6" s="6">
        <f t="shared" ref="E6:E12" si="3">B6-C6</f>
        <v>0</v>
      </c>
      <c r="F6" s="5">
        <f t="shared" si="1"/>
        <v>0</v>
      </c>
      <c r="G6" s="5">
        <f>VLOOKUP(A6,'Матрица поставщиков'!A1:E53,5,0) * B6</f>
        <v>10.5</v>
      </c>
      <c r="H6" s="59">
        <f>G6/G12</f>
        <v>0.0921734889</v>
      </c>
      <c r="I6" s="81"/>
    </row>
    <row r="7" ht="15.75" customHeight="1">
      <c r="A7" s="6" t="s">
        <v>341</v>
      </c>
      <c r="B7" s="6">
        <v>140.0</v>
      </c>
      <c r="C7" s="6">
        <v>52.0</v>
      </c>
      <c r="D7" s="4" t="s">
        <v>12</v>
      </c>
      <c r="E7" s="6">
        <f t="shared" si="3"/>
        <v>88</v>
      </c>
      <c r="F7" s="5">
        <f t="shared" si="1"/>
        <v>62.85714286</v>
      </c>
      <c r="G7" s="5">
        <f>('пф искандер соус'!G11/'пф искандер соус'!I11)*B7</f>
        <v>5.06268</v>
      </c>
      <c r="H7" s="59">
        <f t="shared" ref="H7:H11" si="4">G7/$G$12</f>
        <v>0.04444236941</v>
      </c>
      <c r="I7" s="81"/>
    </row>
    <row r="8">
      <c r="A8" s="6" t="s">
        <v>24</v>
      </c>
      <c r="B8" s="6">
        <v>30.0</v>
      </c>
      <c r="C8" s="6">
        <v>30.0</v>
      </c>
      <c r="D8" s="4" t="s">
        <v>6</v>
      </c>
      <c r="E8" s="6">
        <f t="shared" si="3"/>
        <v>0</v>
      </c>
      <c r="F8" s="5">
        <f t="shared" si="1"/>
        <v>0</v>
      </c>
      <c r="G8" s="5">
        <f>VLOOKUP(A8,'Матрица поставщиков'!A1:E57,5,0) * B8</f>
        <v>10.94</v>
      </c>
      <c r="H8" s="59">
        <f t="shared" si="4"/>
        <v>0.096035997</v>
      </c>
      <c r="I8" s="81"/>
    </row>
    <row r="9">
      <c r="A9" s="6" t="s">
        <v>182</v>
      </c>
      <c r="B9" s="6">
        <v>30.0</v>
      </c>
      <c r="C9" s="6">
        <f t="shared" ref="C9:C10" si="5">B9</f>
        <v>30</v>
      </c>
      <c r="D9" s="4" t="s">
        <v>6</v>
      </c>
      <c r="E9" s="6">
        <f t="shared" si="3"/>
        <v>0</v>
      </c>
      <c r="F9" s="5">
        <f t="shared" si="1"/>
        <v>0</v>
      </c>
      <c r="G9" s="5">
        <f>VLOOKUP(A9,'Матрица поставщиков'!A1:E553,5,0) * B9</f>
        <v>10.14</v>
      </c>
      <c r="H9" s="59">
        <f t="shared" si="4"/>
        <v>0.08901325499</v>
      </c>
      <c r="I9" s="81"/>
    </row>
    <row r="10">
      <c r="A10" s="6" t="s">
        <v>361</v>
      </c>
      <c r="B10" s="6">
        <v>30.0</v>
      </c>
      <c r="C10" s="6">
        <f t="shared" si="5"/>
        <v>30</v>
      </c>
      <c r="D10" s="4" t="s">
        <v>6</v>
      </c>
      <c r="E10" s="6">
        <f t="shared" si="3"/>
        <v>0</v>
      </c>
      <c r="F10" s="5">
        <f t="shared" si="1"/>
        <v>0</v>
      </c>
      <c r="G10" s="5">
        <f>('пф соус Нар'!L5)*B10</f>
        <v>8.748251748</v>
      </c>
      <c r="H10" s="59">
        <f t="shared" si="4"/>
        <v>0.07679589385</v>
      </c>
      <c r="I10" s="81"/>
    </row>
    <row r="11">
      <c r="A11" s="6" t="s">
        <v>342</v>
      </c>
      <c r="B11" s="6">
        <v>22.0</v>
      </c>
      <c r="C11" s="6">
        <v>22.0</v>
      </c>
      <c r="D11" s="4" t="s">
        <v>6</v>
      </c>
      <c r="E11" s="6">
        <f t="shared" si="3"/>
        <v>0</v>
      </c>
      <c r="F11" s="5">
        <f t="shared" si="1"/>
        <v>0</v>
      </c>
      <c r="G11" s="106">
        <f>('пф Фри'!G7/'пф Фри'!I7) * B11</f>
        <v>7.0076006</v>
      </c>
      <c r="H11" s="59">
        <f t="shared" si="4"/>
        <v>0.06151571391</v>
      </c>
      <c r="I11" s="52"/>
    </row>
    <row r="12">
      <c r="A12" s="44" t="s">
        <v>227</v>
      </c>
      <c r="B12" s="4">
        <f t="shared" ref="B12:C12" si="6">SUM(B4:B11)</f>
        <v>465</v>
      </c>
      <c r="C12" s="4">
        <f t="shared" si="6"/>
        <v>377</v>
      </c>
      <c r="D12" s="82" t="s">
        <v>275</v>
      </c>
      <c r="E12" s="6">
        <f t="shared" si="3"/>
        <v>88</v>
      </c>
      <c r="F12" s="82" t="s">
        <v>275</v>
      </c>
      <c r="G12" s="60">
        <f t="shared" ref="G12:H12" si="7">SUM(G4:G11)</f>
        <v>113.9156185</v>
      </c>
      <c r="H12" s="61">
        <f t="shared" si="7"/>
        <v>1</v>
      </c>
      <c r="I12" s="108">
        <f>B12-E12</f>
        <v>377</v>
      </c>
    </row>
    <row r="13">
      <c r="F13" s="41"/>
    </row>
    <row r="14">
      <c r="A14" s="63" t="s">
        <v>238</v>
      </c>
    </row>
    <row r="15">
      <c r="A15" s="65" t="s">
        <v>362</v>
      </c>
      <c r="J15" s="65"/>
      <c r="K15" s="65"/>
      <c r="L15" s="65"/>
      <c r="M15" s="65"/>
      <c r="N15" s="65"/>
      <c r="O15" s="65"/>
      <c r="P15" s="65"/>
      <c r="Q15" s="65"/>
      <c r="R15" s="65"/>
      <c r="S15" s="65"/>
    </row>
    <row r="16">
      <c r="A16" s="70"/>
      <c r="F16" s="41"/>
    </row>
    <row r="17">
      <c r="A17" s="67" t="s">
        <v>241</v>
      </c>
      <c r="B17" s="68"/>
      <c r="C17" s="68"/>
      <c r="D17" s="68"/>
      <c r="E17" s="68"/>
      <c r="F17" s="68"/>
      <c r="G17" s="68"/>
      <c r="H17" s="68"/>
      <c r="I17" s="68"/>
      <c r="J17" s="68"/>
      <c r="K17" s="68"/>
      <c r="L17" s="69"/>
    </row>
    <row r="18">
      <c r="A18" s="44" t="s">
        <v>300</v>
      </c>
      <c r="B18" s="44" t="s">
        <v>301</v>
      </c>
      <c r="C18" s="44" t="s">
        <v>242</v>
      </c>
      <c r="F18" s="41"/>
    </row>
    <row r="19">
      <c r="A19" s="6" t="s">
        <v>277</v>
      </c>
      <c r="B19" s="84">
        <f>C19/C29</f>
        <v>0.8772482841</v>
      </c>
      <c r="C19" s="34">
        <f>G12</f>
        <v>113.9156185</v>
      </c>
      <c r="E19" s="72" t="s">
        <v>244</v>
      </c>
      <c r="F19" s="6">
        <v>25.0</v>
      </c>
      <c r="G19" s="6">
        <v>26.0</v>
      </c>
      <c r="H19" s="6">
        <v>27.0</v>
      </c>
      <c r="I19" s="6">
        <v>27.75</v>
      </c>
      <c r="J19" s="6">
        <v>29.0</v>
      </c>
      <c r="K19" s="6">
        <v>30.0</v>
      </c>
      <c r="L19" s="6">
        <v>31.0</v>
      </c>
    </row>
    <row r="20">
      <c r="A20" s="6" t="s">
        <v>249</v>
      </c>
      <c r="B20" s="84">
        <f>C20/C29</f>
        <v>0.01540172095</v>
      </c>
      <c r="C20" s="93">
        <v>2.0</v>
      </c>
      <c r="E20" s="72" t="s">
        <v>245</v>
      </c>
      <c r="F20" s="73">
        <f>C29*100/F19</f>
        <v>519.4224741</v>
      </c>
      <c r="G20" s="73">
        <f>C29*100/G19</f>
        <v>499.4446867</v>
      </c>
      <c r="H20" s="73">
        <f>C29*100/H19</f>
        <v>480.9467353</v>
      </c>
      <c r="I20" s="73">
        <f>C29*100/I19</f>
        <v>467.9481749</v>
      </c>
      <c r="J20" s="73">
        <f>C29*100/J19</f>
        <v>447.7779949</v>
      </c>
      <c r="K20" s="73">
        <f>C29*100/K19</f>
        <v>432.8520618</v>
      </c>
      <c r="L20" s="73">
        <f>C29*100/L19</f>
        <v>418.889092</v>
      </c>
    </row>
    <row r="21">
      <c r="A21" s="6" t="s">
        <v>250</v>
      </c>
      <c r="B21" s="84">
        <f>C21/C29</f>
        <v>0.009241032568</v>
      </c>
      <c r="C21" s="93">
        <v>1.2</v>
      </c>
      <c r="F21" s="41"/>
      <c r="G21" s="41"/>
      <c r="H21" s="41"/>
      <c r="I21" s="41"/>
      <c r="J21" s="41"/>
      <c r="K21" s="41"/>
      <c r="L21" s="41"/>
    </row>
    <row r="22">
      <c r="A22" s="6" t="s">
        <v>251</v>
      </c>
      <c r="B22" s="84">
        <f>C22/C29</f>
        <v>0.002618292561</v>
      </c>
      <c r="C22" s="93">
        <v>0.34</v>
      </c>
      <c r="F22" s="41"/>
      <c r="G22" s="41"/>
      <c r="H22" s="41"/>
      <c r="I22" s="41"/>
      <c r="J22" s="41"/>
      <c r="K22" s="41"/>
      <c r="L22" s="41"/>
    </row>
    <row r="23">
      <c r="A23" s="6" t="s">
        <v>252</v>
      </c>
      <c r="B23" s="84">
        <f t="shared" ref="B23:B24" si="8">C23/$C$29</f>
        <v>0.01540172095</v>
      </c>
      <c r="C23" s="93">
        <v>2.0</v>
      </c>
      <c r="F23" s="94" t="s">
        <v>246</v>
      </c>
      <c r="G23" s="94" t="s">
        <v>247</v>
      </c>
      <c r="H23" s="94" t="s">
        <v>248</v>
      </c>
      <c r="I23" s="41"/>
      <c r="J23" s="41"/>
      <c r="K23" s="41"/>
      <c r="L23" s="41"/>
    </row>
    <row r="24">
      <c r="A24" s="6" t="s">
        <v>253</v>
      </c>
      <c r="B24" s="84">
        <f t="shared" si="8"/>
        <v>0.01925215118</v>
      </c>
      <c r="C24" s="93">
        <v>2.5</v>
      </c>
      <c r="E24" s="6" t="s">
        <v>249</v>
      </c>
      <c r="F24" s="95">
        <v>2.0</v>
      </c>
      <c r="G24" s="96">
        <v>2.0</v>
      </c>
      <c r="H24" s="96">
        <v>2.0</v>
      </c>
      <c r="I24" s="41"/>
      <c r="J24" s="41"/>
      <c r="K24" s="41"/>
      <c r="L24" s="41"/>
    </row>
    <row r="25">
      <c r="A25" s="6" t="s">
        <v>345</v>
      </c>
      <c r="B25" s="84">
        <f>C25/C29</f>
        <v>0.05236585122</v>
      </c>
      <c r="C25" s="15">
        <v>6.8</v>
      </c>
      <c r="E25" s="6" t="s">
        <v>250</v>
      </c>
      <c r="F25" s="75">
        <v>1.2</v>
      </c>
      <c r="G25" s="97">
        <v>1.2</v>
      </c>
      <c r="H25" s="97">
        <v>0.0</v>
      </c>
    </row>
    <row r="26">
      <c r="A26" s="6" t="s">
        <v>346</v>
      </c>
      <c r="B26" s="84">
        <f>C26/$C$29</f>
        <v>0.02233249537</v>
      </c>
      <c r="C26" s="15">
        <v>2.9</v>
      </c>
      <c r="E26" s="6" t="s">
        <v>251</v>
      </c>
      <c r="F26" s="75">
        <v>0.34</v>
      </c>
      <c r="G26" s="97">
        <v>0.34</v>
      </c>
      <c r="H26" s="97">
        <v>0.34</v>
      </c>
    </row>
    <row r="27">
      <c r="A27" s="15" t="s">
        <v>254</v>
      </c>
      <c r="B27" s="84">
        <f>C27/C29</f>
        <v>0.01740394467</v>
      </c>
      <c r="C27" s="15">
        <v>2.26</v>
      </c>
      <c r="E27" s="6" t="s">
        <v>252</v>
      </c>
      <c r="F27" s="95">
        <v>0.0</v>
      </c>
      <c r="G27" s="96">
        <v>2.0</v>
      </c>
      <c r="H27" s="96">
        <v>2.0</v>
      </c>
    </row>
    <row r="28">
      <c r="A28" s="15" t="s">
        <v>360</v>
      </c>
      <c r="B28" s="4"/>
      <c r="C28" s="124"/>
      <c r="E28" s="6" t="s">
        <v>253</v>
      </c>
      <c r="F28" s="75">
        <v>2.5</v>
      </c>
      <c r="G28" s="97">
        <v>2.5</v>
      </c>
      <c r="H28" s="97">
        <v>2.6</v>
      </c>
    </row>
    <row r="29">
      <c r="A29" s="44" t="s">
        <v>278</v>
      </c>
      <c r="B29" s="4"/>
      <c r="C29" s="60">
        <f>C19+H33</f>
        <v>129.8556185</v>
      </c>
      <c r="E29" s="6" t="s">
        <v>345</v>
      </c>
      <c r="F29" s="95">
        <v>6.8</v>
      </c>
      <c r="G29" s="96">
        <v>6.1</v>
      </c>
      <c r="H29" s="96">
        <v>6.1</v>
      </c>
    </row>
    <row r="30">
      <c r="E30" s="6" t="s">
        <v>346</v>
      </c>
      <c r="F30" s="95">
        <v>0.0</v>
      </c>
      <c r="G30" s="96">
        <v>2.9</v>
      </c>
      <c r="H30" s="96">
        <v>2.9</v>
      </c>
    </row>
    <row r="31">
      <c r="A31" s="6" t="s">
        <v>257</v>
      </c>
      <c r="B31" s="59">
        <f>H35/B34</f>
        <v>0.2650114664</v>
      </c>
      <c r="E31" s="15" t="s">
        <v>254</v>
      </c>
      <c r="F31" s="95">
        <v>2.26</v>
      </c>
      <c r="G31" s="99">
        <v>2.26</v>
      </c>
      <c r="H31" s="99">
        <v>0.0</v>
      </c>
    </row>
    <row r="32" ht="15.75" customHeight="1">
      <c r="A32" s="6" t="s">
        <v>363</v>
      </c>
      <c r="B32" s="59">
        <f>H33/B34</f>
        <v>0.03253061224</v>
      </c>
      <c r="E32" s="15" t="s">
        <v>360</v>
      </c>
      <c r="F32" s="95">
        <v>8.8</v>
      </c>
      <c r="G32" s="95">
        <v>8.8</v>
      </c>
      <c r="H32" s="95">
        <v>0.0</v>
      </c>
    </row>
    <row r="33" ht="15.75" customHeight="1">
      <c r="A33" s="6" t="s">
        <v>258</v>
      </c>
      <c r="B33" s="59">
        <f>C19/B34</f>
        <v>0.2324808541</v>
      </c>
      <c r="F33" s="100">
        <f t="shared" ref="F33:H33" si="9">SUM(F24:F32)</f>
        <v>23.9</v>
      </c>
      <c r="G33" s="100">
        <f t="shared" si="9"/>
        <v>28.1</v>
      </c>
      <c r="H33" s="100">
        <f t="shared" si="9"/>
        <v>15.94</v>
      </c>
    </row>
    <row r="34" ht="15.75" customHeight="1">
      <c r="A34" s="44" t="s">
        <v>308</v>
      </c>
      <c r="B34" s="46">
        <v>490.0</v>
      </c>
      <c r="C34" s="40">
        <f>B34+H33</f>
        <v>505.94</v>
      </c>
      <c r="F34" s="100"/>
      <c r="G34" s="100"/>
      <c r="H34" s="100"/>
    </row>
    <row r="35" ht="15.75" customHeight="1">
      <c r="B35" s="125"/>
      <c r="F35" s="100"/>
      <c r="G35" s="100"/>
      <c r="H35" s="100">
        <f>C19+H33</f>
        <v>129.8556185</v>
      </c>
    </row>
    <row r="36" ht="15.75" customHeight="1">
      <c r="A36" s="15" t="s">
        <v>248</v>
      </c>
      <c r="B36" s="125">
        <f>B34/70*100</f>
        <v>700</v>
      </c>
      <c r="F36" s="100"/>
      <c r="G36" s="100"/>
      <c r="H36" s="100"/>
    </row>
    <row r="37" ht="15.75" customHeight="1">
      <c r="F37" s="40"/>
      <c r="G37" s="40"/>
      <c r="H37" s="40"/>
    </row>
    <row r="38" ht="15.75" customHeight="1">
      <c r="A38" s="40">
        <f>B34-(H33+C19)</f>
        <v>360.1443815</v>
      </c>
      <c r="B38" s="38">
        <f>A38/B34</f>
        <v>0.7349885336</v>
      </c>
      <c r="C38" s="118"/>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row r="1010" ht="15.75" customHeight="1">
      <c r="F1010" s="41"/>
    </row>
    <row r="1011" ht="15.75" customHeight="1">
      <c r="F1011" s="41"/>
    </row>
  </sheetData>
  <autoFilter ref="$A$3:$H$11">
    <sortState ref="A3:H11">
      <sortCondition descending="1" ref="H3:H11"/>
    </sortState>
  </autoFilter>
  <mergeCells count="6">
    <mergeCell ref="A1:A2"/>
    <mergeCell ref="B1:I2"/>
    <mergeCell ref="I4:I11"/>
    <mergeCell ref="A14:I14"/>
    <mergeCell ref="A15:I15"/>
    <mergeCell ref="A17:L17"/>
  </mergeCells>
  <conditionalFormatting sqref="H4:H11">
    <cfRule type="colorScale" priority="1">
      <colorScale>
        <cfvo type="min"/>
        <cfvo type="max"/>
        <color rgb="FFFFFFFF"/>
        <color rgb="FFE67C73"/>
      </colorScale>
    </cfRule>
  </conditionalFormatting>
  <conditionalFormatting sqref="E19:M19">
    <cfRule type="colorScale" priority="2">
      <colorScale>
        <cfvo type="min"/>
        <cfvo type="percentile" val="50"/>
        <cfvo type="max"/>
        <color rgb="FF57BB8A"/>
        <color rgb="FFFFD666"/>
        <color rgb="FFE67C73"/>
      </colorScale>
    </cfRule>
  </conditionalFormatting>
  <conditionalFormatting sqref="B31:B33">
    <cfRule type="cellIs" dxfId="0" priority="3" operator="greaterThan">
      <formula>26</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9.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364</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365</v>
      </c>
      <c r="B4" s="6">
        <v>126.0</v>
      </c>
      <c r="C4" s="6">
        <v>70.0</v>
      </c>
      <c r="D4" s="4" t="s">
        <v>6</v>
      </c>
      <c r="E4" s="6">
        <f>B4-C4</f>
        <v>56</v>
      </c>
      <c r="F4" s="5">
        <f t="shared" ref="F4:F14" si="1">E4/B4*100</f>
        <v>44.44444444</v>
      </c>
      <c r="G4" s="106">
        <f>('пф скумбрия'!L5)*B4</f>
        <v>127.3951636</v>
      </c>
      <c r="H4" s="59">
        <f t="shared" ref="H4:H5" si="2">G4/$G$15</f>
        <v>0.6794769993</v>
      </c>
      <c r="I4" s="103"/>
    </row>
    <row r="5">
      <c r="A5" s="6" t="s">
        <v>25</v>
      </c>
      <c r="B5" s="6">
        <v>0.5</v>
      </c>
      <c r="C5" s="6">
        <v>50.0</v>
      </c>
      <c r="D5" s="6" t="s">
        <v>6</v>
      </c>
      <c r="E5" s="6">
        <v>0.0</v>
      </c>
      <c r="F5" s="5">
        <f t="shared" si="1"/>
        <v>0</v>
      </c>
      <c r="G5" s="106">
        <f>VLOOKUP(A5,'Матрица поставщиков'!A2:E540,5,0) * B5</f>
        <v>7.25</v>
      </c>
      <c r="H5" s="59">
        <f t="shared" si="2"/>
        <v>0.03866872261</v>
      </c>
      <c r="I5" s="81"/>
    </row>
    <row r="6">
      <c r="A6" s="6" t="s">
        <v>104</v>
      </c>
      <c r="B6" s="6">
        <v>30.0</v>
      </c>
      <c r="C6" s="6">
        <v>30.0</v>
      </c>
      <c r="D6" s="4" t="s">
        <v>6</v>
      </c>
      <c r="E6" s="6">
        <f t="shared" ref="E6:E15" si="3">B6-C6</f>
        <v>0</v>
      </c>
      <c r="F6" s="5">
        <f t="shared" si="1"/>
        <v>0</v>
      </c>
      <c r="G6" s="5">
        <f>VLOOKUP(A6,'Матрица поставщиков'!A1:E53,5,0) * B6</f>
        <v>10.5</v>
      </c>
      <c r="H6" s="59">
        <f>G6/G15</f>
        <v>0.05600297758</v>
      </c>
      <c r="I6" s="81"/>
    </row>
    <row r="7">
      <c r="A7" s="6" t="s">
        <v>366</v>
      </c>
      <c r="B7" s="6">
        <v>30.0</v>
      </c>
      <c r="C7" s="6">
        <v>30.0</v>
      </c>
      <c r="D7" s="4" t="s">
        <v>6</v>
      </c>
      <c r="E7" s="6">
        <f t="shared" si="3"/>
        <v>0</v>
      </c>
      <c r="F7" s="5">
        <f t="shared" si="1"/>
        <v>0</v>
      </c>
      <c r="G7" s="5">
        <f>'пф айсберг'!C12*B7</f>
        <v>8.908181818</v>
      </c>
      <c r="H7" s="59">
        <f t="shared" ref="H7:H14" si="4">G7/$G$15</f>
        <v>0.0475128292</v>
      </c>
      <c r="I7" s="81"/>
    </row>
    <row r="8">
      <c r="A8" s="6" t="s">
        <v>11</v>
      </c>
      <c r="B8" s="6">
        <v>30.0</v>
      </c>
      <c r="C8" s="6">
        <v>25.0</v>
      </c>
      <c r="D8" s="4" t="s">
        <v>6</v>
      </c>
      <c r="E8" s="6">
        <f t="shared" si="3"/>
        <v>5</v>
      </c>
      <c r="F8" s="5">
        <f t="shared" si="1"/>
        <v>16.66666667</v>
      </c>
      <c r="G8" s="5">
        <f>VLOOKUP(A8,'Матрица поставщиков'!A1:E553,5,0) * B8</f>
        <v>7.77</v>
      </c>
      <c r="H8" s="59">
        <f t="shared" si="4"/>
        <v>0.04144220341</v>
      </c>
      <c r="I8" s="81"/>
    </row>
    <row r="9">
      <c r="A9" s="6" t="s">
        <v>361</v>
      </c>
      <c r="B9" s="6">
        <v>20.0</v>
      </c>
      <c r="C9" s="6">
        <f>B9</f>
        <v>20</v>
      </c>
      <c r="D9" s="4" t="s">
        <v>6</v>
      </c>
      <c r="E9" s="6">
        <f t="shared" si="3"/>
        <v>0</v>
      </c>
      <c r="F9" s="5">
        <f t="shared" si="1"/>
        <v>0</v>
      </c>
      <c r="G9" s="5">
        <f>('пф соус Нар'!L5)*B9</f>
        <v>5.832167832</v>
      </c>
      <c r="H9" s="59">
        <f t="shared" si="4"/>
        <v>0.03110654898</v>
      </c>
      <c r="I9" s="81"/>
    </row>
    <row r="10">
      <c r="A10" s="6" t="s">
        <v>367</v>
      </c>
      <c r="B10" s="6">
        <v>5.0</v>
      </c>
      <c r="C10" s="6">
        <v>5.0</v>
      </c>
      <c r="D10" s="4" t="s">
        <v>6</v>
      </c>
      <c r="E10" s="6">
        <f t="shared" si="3"/>
        <v>0</v>
      </c>
      <c r="F10" s="5">
        <f t="shared" si="1"/>
        <v>0</v>
      </c>
      <c r="G10" s="106">
        <f>('пф специи балык'!D16) * B10</f>
        <v>5.616511628</v>
      </c>
      <c r="H10" s="59">
        <f t="shared" si="4"/>
        <v>0.02995632141</v>
      </c>
      <c r="I10" s="81"/>
    </row>
    <row r="11">
      <c r="A11" s="6" t="s">
        <v>129</v>
      </c>
      <c r="B11" s="6">
        <v>15.0</v>
      </c>
      <c r="C11" s="6">
        <f>B11</f>
        <v>15</v>
      </c>
      <c r="D11" s="4" t="s">
        <v>6</v>
      </c>
      <c r="E11" s="6">
        <f t="shared" si="3"/>
        <v>0</v>
      </c>
      <c r="F11" s="5">
        <f t="shared" si="1"/>
        <v>0</v>
      </c>
      <c r="G11" s="5">
        <f>VLOOKUP(A11,'Матрица поставщиков'!A4:E556,5,0) * B11</f>
        <v>2.76</v>
      </c>
      <c r="H11" s="59">
        <f t="shared" si="4"/>
        <v>0.01472078268</v>
      </c>
      <c r="I11" s="52"/>
    </row>
    <row r="12">
      <c r="A12" s="6" t="s">
        <v>368</v>
      </c>
      <c r="B12" s="6">
        <v>25.0</v>
      </c>
      <c r="C12" s="6">
        <v>20.0</v>
      </c>
      <c r="D12" s="4" t="s">
        <v>6</v>
      </c>
      <c r="E12" s="6">
        <f t="shared" si="3"/>
        <v>5</v>
      </c>
      <c r="F12" s="5">
        <f t="shared" si="1"/>
        <v>20</v>
      </c>
      <c r="G12" s="5">
        <f>'пф перец сладкий'!C12*B12</f>
        <v>5.823863636</v>
      </c>
      <c r="H12" s="59">
        <f t="shared" si="4"/>
        <v>0.03106225758</v>
      </c>
      <c r="I12" s="126"/>
    </row>
    <row r="13">
      <c r="A13" s="6" t="s">
        <v>369</v>
      </c>
      <c r="B13" s="6">
        <v>15.0</v>
      </c>
      <c r="C13" s="6">
        <v>5.0</v>
      </c>
      <c r="D13" s="4" t="s">
        <v>6</v>
      </c>
      <c r="E13" s="6">
        <f t="shared" si="3"/>
        <v>10</v>
      </c>
      <c r="F13" s="5">
        <f t="shared" si="1"/>
        <v>66.66666667</v>
      </c>
      <c r="G13" s="6">
        <f>'пф обмазка балыка'!C15*B13</f>
        <v>2.897675745</v>
      </c>
      <c r="H13" s="59">
        <f t="shared" si="4"/>
        <v>0.01545509236</v>
      </c>
      <c r="I13" s="126"/>
    </row>
    <row r="14">
      <c r="A14" s="6" t="s">
        <v>370</v>
      </c>
      <c r="B14" s="6">
        <v>20.0</v>
      </c>
      <c r="C14" s="6">
        <v>20.0</v>
      </c>
      <c r="D14" s="4" t="s">
        <v>6</v>
      </c>
      <c r="E14" s="6">
        <f t="shared" si="3"/>
        <v>0</v>
      </c>
      <c r="F14" s="5">
        <f t="shared" si="1"/>
        <v>0</v>
      </c>
      <c r="G14" s="6">
        <f>'пф Лук - сумах'!D17*B14</f>
        <v>2.736466667</v>
      </c>
      <c r="H14" s="59">
        <f t="shared" si="4"/>
        <v>0.01459526489</v>
      </c>
      <c r="I14" s="126"/>
    </row>
    <row r="15">
      <c r="A15" s="44" t="s">
        <v>227</v>
      </c>
      <c r="B15" s="4">
        <f t="shared" ref="B15:C15" si="5">SUM(B4:B14)</f>
        <v>316.5</v>
      </c>
      <c r="C15" s="4">
        <f t="shared" si="5"/>
        <v>290</v>
      </c>
      <c r="D15" s="82" t="s">
        <v>275</v>
      </c>
      <c r="E15" s="6">
        <f t="shared" si="3"/>
        <v>26.5</v>
      </c>
      <c r="F15" s="82" t="s">
        <v>275</v>
      </c>
      <c r="G15" s="60">
        <f t="shared" ref="G15:H15" si="6">SUM(G4:G14)</f>
        <v>187.490031</v>
      </c>
      <c r="H15" s="61">
        <f t="shared" si="6"/>
        <v>1</v>
      </c>
      <c r="I15" s="108">
        <f>B15-E15</f>
        <v>290</v>
      </c>
    </row>
    <row r="16">
      <c r="F16" s="41"/>
    </row>
    <row r="17">
      <c r="A17" s="63" t="s">
        <v>238</v>
      </c>
    </row>
    <row r="18">
      <c r="A18" s="65" t="s">
        <v>371</v>
      </c>
      <c r="J18" s="65"/>
      <c r="K18" s="65"/>
      <c r="L18" s="65"/>
      <c r="M18" s="65"/>
      <c r="N18" s="65"/>
      <c r="O18" s="65"/>
      <c r="P18" s="65"/>
      <c r="Q18" s="65"/>
      <c r="R18" s="65"/>
      <c r="S18" s="65"/>
    </row>
    <row r="19">
      <c r="A19" s="70"/>
      <c r="F19" s="41"/>
    </row>
    <row r="20">
      <c r="A20" s="67" t="s">
        <v>241</v>
      </c>
      <c r="B20" s="68"/>
      <c r="C20" s="68"/>
      <c r="D20" s="68"/>
      <c r="E20" s="68"/>
      <c r="F20" s="68"/>
      <c r="G20" s="68"/>
      <c r="H20" s="68"/>
      <c r="I20" s="68"/>
      <c r="J20" s="68"/>
      <c r="K20" s="68"/>
      <c r="L20" s="69"/>
    </row>
    <row r="21">
      <c r="A21" s="44" t="s">
        <v>300</v>
      </c>
      <c r="B21" s="44" t="s">
        <v>301</v>
      </c>
      <c r="C21" s="44" t="s">
        <v>242</v>
      </c>
      <c r="F21" s="41"/>
    </row>
    <row r="22">
      <c r="A22" s="6" t="s">
        <v>277</v>
      </c>
      <c r="B22" s="84">
        <f>C22/C32</f>
        <v>0.9216438206</v>
      </c>
      <c r="C22" s="34">
        <f>G15</f>
        <v>187.490031</v>
      </c>
      <c r="E22" s="72" t="s">
        <v>244</v>
      </c>
      <c r="F22" s="6">
        <v>25.0</v>
      </c>
      <c r="G22" s="6">
        <v>26.0</v>
      </c>
      <c r="H22" s="6">
        <v>27.0</v>
      </c>
      <c r="I22" s="6">
        <v>27.75</v>
      </c>
      <c r="J22" s="6">
        <v>29.0</v>
      </c>
      <c r="K22" s="6">
        <v>30.0</v>
      </c>
      <c r="L22" s="6">
        <v>31.0</v>
      </c>
    </row>
    <row r="23">
      <c r="A23" s="6" t="s">
        <v>249</v>
      </c>
      <c r="B23" s="84">
        <f>C23/C32</f>
        <v>0.009831390137</v>
      </c>
      <c r="C23" s="93">
        <v>2.0</v>
      </c>
      <c r="E23" s="72" t="s">
        <v>245</v>
      </c>
      <c r="F23" s="73">
        <f>C32*100/F22</f>
        <v>813.7201239</v>
      </c>
      <c r="G23" s="73">
        <f>C32*100/G22</f>
        <v>782.423196</v>
      </c>
      <c r="H23" s="73">
        <f>C32*100/H22</f>
        <v>753.4445591</v>
      </c>
      <c r="I23" s="73">
        <f>C32*100/I22</f>
        <v>733.0811927</v>
      </c>
      <c r="J23" s="73">
        <f>C32*100/J22</f>
        <v>701.4828654</v>
      </c>
      <c r="K23" s="73">
        <f>C32*100/K22</f>
        <v>678.1001032</v>
      </c>
      <c r="L23" s="73">
        <f>C32*100/L22</f>
        <v>656.2259063</v>
      </c>
    </row>
    <row r="24">
      <c r="A24" s="6" t="s">
        <v>250</v>
      </c>
      <c r="B24" s="84">
        <f>C24/C32</f>
        <v>0.005898834082</v>
      </c>
      <c r="C24" s="93">
        <v>1.2</v>
      </c>
      <c r="F24" s="41"/>
      <c r="G24" s="41"/>
      <c r="H24" s="41"/>
      <c r="I24" s="41"/>
      <c r="J24" s="41"/>
      <c r="K24" s="41"/>
      <c r="L24" s="41"/>
    </row>
    <row r="25">
      <c r="A25" s="6" t="s">
        <v>251</v>
      </c>
      <c r="B25" s="84">
        <f>C25/C32</f>
        <v>0.001671336323</v>
      </c>
      <c r="C25" s="93">
        <v>0.34</v>
      </c>
      <c r="F25" s="41"/>
      <c r="G25" s="41"/>
      <c r="H25" s="41"/>
      <c r="I25" s="41"/>
      <c r="J25" s="41"/>
      <c r="K25" s="41"/>
      <c r="L25" s="41"/>
    </row>
    <row r="26">
      <c r="A26" s="6" t="s">
        <v>252</v>
      </c>
      <c r="B26" s="84">
        <f t="shared" ref="B26:B27" si="7">C26/$C$32</f>
        <v>0.009831390137</v>
      </c>
      <c r="C26" s="93">
        <v>2.0</v>
      </c>
      <c r="F26" s="94" t="s">
        <v>246</v>
      </c>
      <c r="G26" s="94" t="s">
        <v>247</v>
      </c>
      <c r="H26" s="94" t="s">
        <v>248</v>
      </c>
      <c r="I26" s="41"/>
      <c r="J26" s="41"/>
      <c r="K26" s="41"/>
      <c r="L26" s="41"/>
    </row>
    <row r="27">
      <c r="A27" s="6" t="s">
        <v>253</v>
      </c>
      <c r="B27" s="84">
        <f t="shared" si="7"/>
        <v>0.01228923767</v>
      </c>
      <c r="C27" s="93">
        <v>2.5</v>
      </c>
      <c r="E27" s="6" t="s">
        <v>249</v>
      </c>
      <c r="F27" s="95">
        <v>2.0</v>
      </c>
      <c r="G27" s="96">
        <v>2.0</v>
      </c>
      <c r="H27" s="96">
        <v>2.0</v>
      </c>
      <c r="I27" s="41"/>
      <c r="J27" s="41"/>
      <c r="K27" s="41"/>
      <c r="L27" s="41"/>
    </row>
    <row r="28">
      <c r="A28" s="6" t="s">
        <v>345</v>
      </c>
      <c r="B28" s="84">
        <f>C28/C32</f>
        <v>0.03342672647</v>
      </c>
      <c r="C28" s="15">
        <v>6.8</v>
      </c>
      <c r="E28" s="6" t="s">
        <v>250</v>
      </c>
      <c r="F28" s="75">
        <v>1.2</v>
      </c>
      <c r="G28" s="97">
        <v>1.2</v>
      </c>
      <c r="H28" s="97">
        <v>0.0</v>
      </c>
    </row>
    <row r="29">
      <c r="A29" s="6" t="s">
        <v>346</v>
      </c>
      <c r="B29" s="84">
        <f>C29/$C$32</f>
        <v>0.0142555157</v>
      </c>
      <c r="C29" s="15">
        <v>2.9</v>
      </c>
      <c r="E29" s="6" t="s">
        <v>251</v>
      </c>
      <c r="F29" s="75">
        <v>0.34</v>
      </c>
      <c r="G29" s="97">
        <v>0.34</v>
      </c>
      <c r="H29" s="97">
        <v>0.34</v>
      </c>
    </row>
    <row r="30">
      <c r="A30" s="15" t="s">
        <v>254</v>
      </c>
      <c r="B30" s="84">
        <f>C30/C32</f>
        <v>0.01110947085</v>
      </c>
      <c r="C30" s="15">
        <v>2.26</v>
      </c>
      <c r="E30" s="6" t="s">
        <v>252</v>
      </c>
      <c r="F30" s="95">
        <v>0.0</v>
      </c>
      <c r="G30" s="96">
        <v>2.0</v>
      </c>
      <c r="H30" s="96">
        <v>2.0</v>
      </c>
    </row>
    <row r="31">
      <c r="A31" s="15" t="s">
        <v>360</v>
      </c>
      <c r="B31" s="4"/>
      <c r="C31" s="124"/>
      <c r="E31" s="6" t="s">
        <v>253</v>
      </c>
      <c r="F31" s="75">
        <v>2.5</v>
      </c>
      <c r="G31" s="97">
        <v>2.5</v>
      </c>
      <c r="H31" s="97">
        <v>2.6</v>
      </c>
    </row>
    <row r="32">
      <c r="A32" s="44" t="s">
        <v>278</v>
      </c>
      <c r="B32" s="4"/>
      <c r="C32" s="60">
        <f>C22+H36</f>
        <v>203.430031</v>
      </c>
      <c r="E32" s="6" t="s">
        <v>345</v>
      </c>
      <c r="F32" s="95">
        <v>6.8</v>
      </c>
      <c r="G32" s="96">
        <v>6.1</v>
      </c>
      <c r="H32" s="96">
        <v>6.1</v>
      </c>
    </row>
    <row r="33">
      <c r="E33" s="6" t="s">
        <v>346</v>
      </c>
      <c r="F33" s="95">
        <v>0.0</v>
      </c>
      <c r="G33" s="96">
        <v>2.9</v>
      </c>
      <c r="H33" s="96">
        <v>2.9</v>
      </c>
    </row>
    <row r="34">
      <c r="A34" s="6" t="s">
        <v>257</v>
      </c>
      <c r="B34" s="59">
        <f>H38/B37</f>
        <v>0.3447966626</v>
      </c>
      <c r="E34" s="15" t="s">
        <v>254</v>
      </c>
      <c r="F34" s="95">
        <v>2.26</v>
      </c>
      <c r="G34" s="99">
        <v>2.26</v>
      </c>
      <c r="H34" s="99">
        <v>0.0</v>
      </c>
    </row>
    <row r="35" ht="15.75" customHeight="1">
      <c r="A35" s="6" t="s">
        <v>363</v>
      </c>
      <c r="B35" s="59">
        <f>H36/B37</f>
        <v>0.02701694915</v>
      </c>
      <c r="E35" s="15" t="s">
        <v>360</v>
      </c>
      <c r="F35" s="95">
        <v>8.8</v>
      </c>
      <c r="G35" s="95">
        <v>8.8</v>
      </c>
      <c r="H35" s="95">
        <v>0.0</v>
      </c>
    </row>
    <row r="36" ht="15.75" customHeight="1">
      <c r="A36" s="6" t="s">
        <v>258</v>
      </c>
      <c r="B36" s="59">
        <f>C22/B37</f>
        <v>0.3177797135</v>
      </c>
      <c r="F36" s="100">
        <f t="shared" ref="F36:H36" si="8">SUM(F27:F35)</f>
        <v>23.9</v>
      </c>
      <c r="G36" s="100">
        <f t="shared" si="8"/>
        <v>28.1</v>
      </c>
      <c r="H36" s="100">
        <f t="shared" si="8"/>
        <v>15.94</v>
      </c>
    </row>
    <row r="37" ht="15.75" customHeight="1">
      <c r="A37" s="44" t="s">
        <v>308</v>
      </c>
      <c r="B37" s="46">
        <v>590.0</v>
      </c>
      <c r="C37" s="40">
        <f>B37+H36</f>
        <v>605.94</v>
      </c>
      <c r="F37" s="100"/>
      <c r="G37" s="100"/>
      <c r="H37" s="100"/>
    </row>
    <row r="38" ht="15.75" customHeight="1">
      <c r="B38" s="125"/>
      <c r="F38" s="100"/>
      <c r="G38" s="100"/>
      <c r="H38" s="100">
        <f>C22+H36</f>
        <v>203.430031</v>
      </c>
    </row>
    <row r="39" ht="15.75" customHeight="1">
      <c r="A39" s="15" t="s">
        <v>248</v>
      </c>
      <c r="B39" s="125">
        <f>B37/70*100*1.15</f>
        <v>969.2857143</v>
      </c>
      <c r="F39" s="100"/>
      <c r="G39" s="100"/>
      <c r="H39" s="100"/>
    </row>
    <row r="40" ht="15.75" customHeight="1">
      <c r="F40" s="40"/>
      <c r="G40" s="40"/>
      <c r="H40" s="40"/>
    </row>
    <row r="41" ht="15.75" customHeight="1">
      <c r="A41" s="40">
        <f>B37-(H36+C22)</f>
        <v>386.569969</v>
      </c>
      <c r="B41" s="38">
        <f>A41/B37</f>
        <v>0.6552033374</v>
      </c>
      <c r="C41" s="118"/>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row r="1010" ht="15.75" customHeight="1">
      <c r="F1010" s="41"/>
    </row>
    <row r="1011" ht="15.75" customHeight="1">
      <c r="F1011" s="41"/>
    </row>
    <row r="1012" ht="15.75" customHeight="1">
      <c r="F1012" s="41"/>
    </row>
    <row r="1013" ht="15.75" customHeight="1">
      <c r="F1013" s="41"/>
    </row>
    <row r="1014" ht="15.75" customHeight="1">
      <c r="F1014" s="41"/>
    </row>
  </sheetData>
  <autoFilter ref="$A$3:$H$14">
    <sortState ref="A3:H14">
      <sortCondition descending="1" ref="H3:H14"/>
    </sortState>
  </autoFilter>
  <mergeCells count="6">
    <mergeCell ref="A1:A2"/>
    <mergeCell ref="B1:I2"/>
    <mergeCell ref="I4:I11"/>
    <mergeCell ref="A17:I17"/>
    <mergeCell ref="A18:I18"/>
    <mergeCell ref="A20:L20"/>
  </mergeCells>
  <conditionalFormatting sqref="H4:H14">
    <cfRule type="colorScale" priority="1">
      <colorScale>
        <cfvo type="min"/>
        <cfvo type="max"/>
        <color rgb="FFFFFFFF"/>
        <color rgb="FFE67C73"/>
      </colorScale>
    </cfRule>
  </conditionalFormatting>
  <conditionalFormatting sqref="E22:M22">
    <cfRule type="colorScale" priority="2">
      <colorScale>
        <cfvo type="min"/>
        <cfvo type="percentile" val="50"/>
        <cfvo type="max"/>
        <color rgb="FF57BB8A"/>
        <color rgb="FFFFD666"/>
        <color rgb="FFE67C73"/>
      </colorScale>
    </cfRule>
  </conditionalFormatting>
  <conditionalFormatting sqref="B34:B36">
    <cfRule type="cellIs" dxfId="0" priority="3" operator="greaterThan">
      <formula>26</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9.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348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187</v>
      </c>
      <c r="B4" s="6">
        <v>26.0</v>
      </c>
      <c r="C4" s="6">
        <f>B4</f>
        <v>26</v>
      </c>
      <c r="D4" s="4" t="s">
        <v>6</v>
      </c>
      <c r="E4" s="6">
        <f>B4-C4</f>
        <v>0</v>
      </c>
      <c r="F4" s="5">
        <f t="shared" ref="F4:F8" si="1">E4/B4*100</f>
        <v>0</v>
      </c>
      <c r="G4" s="5">
        <f>VLOOKUP(A4,'Матрица поставщиков'!A1:E530,5,0) * B4</f>
        <v>33.36666667</v>
      </c>
      <c r="H4" s="59">
        <f t="shared" ref="H4:H5" si="2">G4/$G$9</f>
        <v>0.34236174</v>
      </c>
      <c r="I4" s="103"/>
      <c r="J4" s="15" t="s">
        <v>372</v>
      </c>
    </row>
    <row r="5">
      <c r="A5" s="6" t="s">
        <v>186</v>
      </c>
      <c r="B5" s="6">
        <v>0.5</v>
      </c>
      <c r="C5" s="6">
        <v>75.0</v>
      </c>
      <c r="D5" s="6" t="s">
        <v>6</v>
      </c>
      <c r="E5" s="6">
        <v>0.0</v>
      </c>
      <c r="F5" s="5">
        <f t="shared" si="1"/>
        <v>0</v>
      </c>
      <c r="G5" s="5">
        <f>VLOOKUP(A5,'Матрица поставщиков'!A2:E531,5,0) * B5</f>
        <v>21.58333333</v>
      </c>
      <c r="H5" s="59">
        <f t="shared" si="2"/>
        <v>0.2214577689</v>
      </c>
      <c r="I5" s="81"/>
    </row>
    <row r="6">
      <c r="A6" s="6" t="s">
        <v>104</v>
      </c>
      <c r="B6" s="6">
        <v>30.0</v>
      </c>
      <c r="C6" s="6">
        <v>30.0</v>
      </c>
      <c r="D6" s="4" t="s">
        <v>6</v>
      </c>
      <c r="E6" s="6">
        <f t="shared" ref="E6:E9" si="3">B6-C6</f>
        <v>0</v>
      </c>
      <c r="F6" s="5">
        <f t="shared" si="1"/>
        <v>0</v>
      </c>
      <c r="G6" s="5">
        <f>VLOOKUP(A6,'Матрица поставщиков'!A1:E53,5,0) * B6</f>
        <v>10.5</v>
      </c>
      <c r="H6" s="59">
        <f>G6/G9</f>
        <v>0.1077362119</v>
      </c>
      <c r="I6" s="81"/>
    </row>
    <row r="7">
      <c r="A7" s="6" t="s">
        <v>188</v>
      </c>
      <c r="B7" s="6">
        <v>40.0</v>
      </c>
      <c r="C7" s="6">
        <v>40.0</v>
      </c>
      <c r="D7" s="4" t="s">
        <v>6</v>
      </c>
      <c r="E7" s="6">
        <f t="shared" si="3"/>
        <v>0</v>
      </c>
      <c r="F7" s="5">
        <f t="shared" si="1"/>
        <v>0</v>
      </c>
      <c r="G7" s="5">
        <f>VLOOKUP(A7,'Матрица поставщиков'!A3:E550,5,0) * B7</f>
        <v>27.65273312</v>
      </c>
      <c r="H7" s="59">
        <f t="shared" ref="H7:H8" si="4">G7/$G$9</f>
        <v>0.2837334014</v>
      </c>
      <c r="I7" s="81"/>
    </row>
    <row r="8">
      <c r="A8" s="6" t="s">
        <v>373</v>
      </c>
      <c r="B8" s="6">
        <v>30.0</v>
      </c>
      <c r="C8" s="6">
        <f>B8</f>
        <v>30</v>
      </c>
      <c r="D8" s="4" t="s">
        <v>6</v>
      </c>
      <c r="E8" s="6">
        <f t="shared" si="3"/>
        <v>0</v>
      </c>
      <c r="F8" s="5">
        <f t="shared" si="1"/>
        <v>0</v>
      </c>
      <c r="G8" s="5">
        <f>('пф соус для суджука'!C21)*B8</f>
        <v>4.357534091</v>
      </c>
      <c r="H8" s="59">
        <f t="shared" si="4"/>
        <v>0.04471087773</v>
      </c>
      <c r="I8" s="52"/>
    </row>
    <row r="9">
      <c r="A9" s="44" t="s">
        <v>227</v>
      </c>
      <c r="B9" s="4">
        <f t="shared" ref="B9:C9" si="5">SUM(B4:B8)</f>
        <v>126.5</v>
      </c>
      <c r="C9" s="4">
        <f t="shared" si="5"/>
        <v>201</v>
      </c>
      <c r="D9" s="82" t="s">
        <v>275</v>
      </c>
      <c r="E9" s="6">
        <f t="shared" si="3"/>
        <v>-74.5</v>
      </c>
      <c r="F9" s="82" t="s">
        <v>275</v>
      </c>
      <c r="G9" s="60">
        <f t="shared" ref="G9:H9" si="6">SUM(G4:G8)</f>
        <v>97.46026721</v>
      </c>
      <c r="H9" s="61">
        <f t="shared" si="6"/>
        <v>1</v>
      </c>
      <c r="I9" s="108">
        <f>B9-E9</f>
        <v>201</v>
      </c>
    </row>
    <row r="10">
      <c r="F10" s="41"/>
    </row>
    <row r="11">
      <c r="A11" s="63" t="s">
        <v>238</v>
      </c>
    </row>
    <row r="12">
      <c r="A12" s="65"/>
      <c r="J12" s="65"/>
      <c r="K12" s="65"/>
      <c r="L12" s="65"/>
      <c r="M12" s="65"/>
      <c r="N12" s="65"/>
      <c r="O12" s="65"/>
      <c r="P12" s="65"/>
      <c r="Q12" s="65"/>
      <c r="R12" s="65"/>
      <c r="S12" s="65"/>
    </row>
    <row r="13">
      <c r="A13" s="70"/>
      <c r="F13" s="41"/>
    </row>
    <row r="14">
      <c r="A14" s="67" t="s">
        <v>241</v>
      </c>
      <c r="B14" s="68"/>
      <c r="C14" s="68"/>
      <c r="D14" s="68"/>
      <c r="E14" s="68"/>
      <c r="F14" s="68"/>
      <c r="G14" s="68"/>
      <c r="H14" s="68"/>
      <c r="I14" s="68"/>
      <c r="J14" s="68"/>
      <c r="K14" s="68"/>
      <c r="L14" s="69"/>
    </row>
    <row r="15">
      <c r="A15" s="44" t="s">
        <v>300</v>
      </c>
      <c r="B15" s="44" t="s">
        <v>301</v>
      </c>
      <c r="C15" s="44" t="s">
        <v>242</v>
      </c>
      <c r="F15" s="41"/>
    </row>
    <row r="16">
      <c r="A16" s="6" t="s">
        <v>277</v>
      </c>
      <c r="B16" s="84">
        <f>C16/C26</f>
        <v>0.8594359573</v>
      </c>
      <c r="C16" s="34">
        <f>G9</f>
        <v>97.46026721</v>
      </c>
      <c r="E16" s="72" t="s">
        <v>244</v>
      </c>
      <c r="F16" s="6">
        <v>25.0</v>
      </c>
      <c r="G16" s="6">
        <v>26.0</v>
      </c>
      <c r="H16" s="6">
        <v>27.0</v>
      </c>
      <c r="I16" s="6">
        <v>27.75</v>
      </c>
      <c r="J16" s="6">
        <v>29.0</v>
      </c>
      <c r="K16" s="6">
        <v>30.0</v>
      </c>
      <c r="L16" s="6">
        <v>31.0</v>
      </c>
    </row>
    <row r="17">
      <c r="A17" s="6" t="s">
        <v>249</v>
      </c>
      <c r="B17" s="84">
        <f>C17/C26</f>
        <v>0.01763664275</v>
      </c>
      <c r="C17" s="93">
        <v>2.0</v>
      </c>
      <c r="E17" s="72" t="s">
        <v>245</v>
      </c>
      <c r="F17" s="73">
        <f>C26*100/F16</f>
        <v>453.6010688</v>
      </c>
      <c r="G17" s="73">
        <f>C26*100/G16</f>
        <v>436.1548739</v>
      </c>
      <c r="H17" s="73">
        <f>C26*100/H16</f>
        <v>420.0009897</v>
      </c>
      <c r="I17" s="73">
        <f>C26*100/I16</f>
        <v>408.6496116</v>
      </c>
      <c r="J17" s="73">
        <f>C26*100/J16</f>
        <v>391.0354042</v>
      </c>
      <c r="K17" s="73">
        <f>C26*100/K16</f>
        <v>378.0008907</v>
      </c>
      <c r="L17" s="73">
        <f>C26*100/L16</f>
        <v>365.8073136</v>
      </c>
    </row>
    <row r="18">
      <c r="A18" s="6" t="s">
        <v>250</v>
      </c>
      <c r="B18" s="84">
        <f>C18/C26</f>
        <v>0.01058198565</v>
      </c>
      <c r="C18" s="93">
        <v>1.2</v>
      </c>
      <c r="F18" s="41"/>
      <c r="G18" s="41"/>
      <c r="H18" s="41"/>
      <c r="I18" s="41"/>
      <c r="J18" s="41"/>
      <c r="K18" s="41"/>
      <c r="L18" s="41"/>
    </row>
    <row r="19">
      <c r="A19" s="6" t="s">
        <v>251</v>
      </c>
      <c r="B19" s="84">
        <f>C19/C26</f>
        <v>0.002998229267</v>
      </c>
      <c r="C19" s="93">
        <v>0.34</v>
      </c>
      <c r="F19" s="41"/>
      <c r="G19" s="41"/>
      <c r="H19" s="41"/>
      <c r="I19" s="41"/>
      <c r="J19" s="41"/>
      <c r="K19" s="41"/>
      <c r="L19" s="41"/>
    </row>
    <row r="20">
      <c r="A20" s="6" t="s">
        <v>252</v>
      </c>
      <c r="B20" s="84">
        <f t="shared" ref="B20:B21" si="7">C20/$C$26</f>
        <v>0.01763664275</v>
      </c>
      <c r="C20" s="93">
        <v>2.0</v>
      </c>
      <c r="F20" s="94" t="s">
        <v>246</v>
      </c>
      <c r="G20" s="94" t="s">
        <v>247</v>
      </c>
      <c r="H20" s="94" t="s">
        <v>248</v>
      </c>
      <c r="I20" s="41"/>
      <c r="J20" s="41"/>
      <c r="K20" s="41"/>
      <c r="L20" s="41"/>
    </row>
    <row r="21">
      <c r="A21" s="6" t="s">
        <v>253</v>
      </c>
      <c r="B21" s="84">
        <f t="shared" si="7"/>
        <v>0.02204580343</v>
      </c>
      <c r="C21" s="93">
        <v>2.5</v>
      </c>
      <c r="E21" s="6" t="s">
        <v>249</v>
      </c>
      <c r="F21" s="95">
        <v>2.0</v>
      </c>
      <c r="G21" s="96">
        <v>2.0</v>
      </c>
      <c r="H21" s="96">
        <v>2.0</v>
      </c>
      <c r="I21" s="41"/>
      <c r="J21" s="41"/>
      <c r="K21" s="41"/>
      <c r="L21" s="41"/>
    </row>
    <row r="22">
      <c r="A22" s="6" t="s">
        <v>345</v>
      </c>
      <c r="B22" s="84">
        <f>C22/C26</f>
        <v>0.05996458533</v>
      </c>
      <c r="C22" s="15">
        <v>6.8</v>
      </c>
      <c r="E22" s="6" t="s">
        <v>250</v>
      </c>
      <c r="F22" s="75">
        <v>1.2</v>
      </c>
      <c r="G22" s="97">
        <v>1.2</v>
      </c>
      <c r="H22" s="97">
        <v>0.0</v>
      </c>
    </row>
    <row r="23">
      <c r="A23" s="6" t="s">
        <v>346</v>
      </c>
      <c r="B23" s="84">
        <f>C23/$C$26</f>
        <v>0.02557313198</v>
      </c>
      <c r="C23" s="15">
        <v>2.9</v>
      </c>
      <c r="E23" s="6" t="s">
        <v>251</v>
      </c>
      <c r="F23" s="75">
        <v>0.34</v>
      </c>
      <c r="G23" s="97">
        <v>0.34</v>
      </c>
      <c r="H23" s="97">
        <v>0.34</v>
      </c>
    </row>
    <row r="24">
      <c r="A24" s="15" t="s">
        <v>254</v>
      </c>
      <c r="B24" s="84">
        <f>C24/C26</f>
        <v>0.0199294063</v>
      </c>
      <c r="C24" s="15">
        <v>2.26</v>
      </c>
      <c r="E24" s="6" t="s">
        <v>252</v>
      </c>
      <c r="F24" s="95">
        <v>0.0</v>
      </c>
      <c r="G24" s="96">
        <v>2.0</v>
      </c>
      <c r="H24" s="96">
        <v>2.0</v>
      </c>
    </row>
    <row r="25">
      <c r="A25" s="15" t="s">
        <v>360</v>
      </c>
      <c r="B25" s="4"/>
      <c r="C25" s="124"/>
      <c r="E25" s="6" t="s">
        <v>253</v>
      </c>
      <c r="F25" s="75">
        <v>2.5</v>
      </c>
      <c r="G25" s="97">
        <v>2.5</v>
      </c>
      <c r="H25" s="97">
        <v>2.6</v>
      </c>
    </row>
    <row r="26">
      <c r="A26" s="44" t="s">
        <v>278</v>
      </c>
      <c r="B26" s="4"/>
      <c r="C26" s="60">
        <f>C16+H30</f>
        <v>113.4002672</v>
      </c>
      <c r="E26" s="6" t="s">
        <v>345</v>
      </c>
      <c r="F26" s="95">
        <v>6.8</v>
      </c>
      <c r="G26" s="96">
        <v>6.1</v>
      </c>
      <c r="H26" s="96">
        <v>6.1</v>
      </c>
    </row>
    <row r="27">
      <c r="E27" s="6" t="s">
        <v>346</v>
      </c>
      <c r="F27" s="95">
        <v>0.0</v>
      </c>
      <c r="G27" s="96">
        <v>2.9</v>
      </c>
      <c r="H27" s="96">
        <v>2.9</v>
      </c>
    </row>
    <row r="28">
      <c r="A28" s="6" t="s">
        <v>257</v>
      </c>
      <c r="B28" s="59">
        <f>H32/B31</f>
        <v>0.2520005938</v>
      </c>
      <c r="E28" s="15" t="s">
        <v>254</v>
      </c>
      <c r="F28" s="95">
        <v>2.26</v>
      </c>
      <c r="G28" s="99">
        <v>2.26</v>
      </c>
      <c r="H28" s="99">
        <v>0.0</v>
      </c>
    </row>
    <row r="29" ht="15.75" customHeight="1">
      <c r="A29" s="6" t="s">
        <v>363</v>
      </c>
      <c r="B29" s="59">
        <f>H30/B31</f>
        <v>0.03542222222</v>
      </c>
      <c r="E29" s="15" t="s">
        <v>360</v>
      </c>
      <c r="F29" s="95">
        <v>8.8</v>
      </c>
      <c r="G29" s="95">
        <v>8.8</v>
      </c>
      <c r="H29" s="95">
        <v>0.0</v>
      </c>
    </row>
    <row r="30" ht="15.75" customHeight="1">
      <c r="A30" s="6" t="s">
        <v>258</v>
      </c>
      <c r="B30" s="59">
        <f>C16/B31</f>
        <v>0.2165783716</v>
      </c>
      <c r="F30" s="100">
        <f t="shared" ref="F30:H30" si="8">SUM(F21:F29)</f>
        <v>23.9</v>
      </c>
      <c r="G30" s="100">
        <f t="shared" si="8"/>
        <v>28.1</v>
      </c>
      <c r="H30" s="100">
        <f t="shared" si="8"/>
        <v>15.94</v>
      </c>
    </row>
    <row r="31" ht="15.75" customHeight="1">
      <c r="A31" s="44" t="s">
        <v>308</v>
      </c>
      <c r="B31" s="46">
        <v>450.0</v>
      </c>
      <c r="C31" s="40">
        <f>B31+H30</f>
        <v>465.94</v>
      </c>
      <c r="F31" s="100"/>
      <c r="G31" s="100"/>
      <c r="H31" s="100"/>
    </row>
    <row r="32" ht="15.75" customHeight="1">
      <c r="B32" s="125"/>
      <c r="F32" s="100"/>
      <c r="G32" s="100"/>
      <c r="H32" s="100">
        <f>C16+H30</f>
        <v>113.4002672</v>
      </c>
    </row>
    <row r="33" ht="15.75" customHeight="1">
      <c r="A33" s="15" t="s">
        <v>248</v>
      </c>
      <c r="B33" s="125">
        <f>B31/70*100</f>
        <v>642.8571429</v>
      </c>
      <c r="F33" s="100"/>
      <c r="G33" s="100"/>
      <c r="H33" s="100"/>
    </row>
    <row r="34" ht="15.75" customHeight="1">
      <c r="F34" s="40"/>
      <c r="G34" s="40"/>
      <c r="H34" s="40"/>
    </row>
    <row r="35" ht="15.75" customHeight="1">
      <c r="A35" s="40">
        <f>B31-(H30+C16)</f>
        <v>336.5997328</v>
      </c>
      <c r="B35" s="38">
        <f>A35/B31</f>
        <v>0.7479994062</v>
      </c>
      <c r="C35" s="118"/>
      <c r="F35" s="41"/>
    </row>
    <row r="36" ht="15.75" customHeight="1">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sheetData>
  <autoFilter ref="$A$3:$H$8">
    <sortState ref="A3:H8">
      <sortCondition descending="1" ref="H3:H8"/>
    </sortState>
  </autoFilter>
  <mergeCells count="6">
    <mergeCell ref="A1:A2"/>
    <mergeCell ref="B1:I2"/>
    <mergeCell ref="I4:I8"/>
    <mergeCell ref="A11:I11"/>
    <mergeCell ref="A12:I12"/>
    <mergeCell ref="A14:L14"/>
  </mergeCells>
  <conditionalFormatting sqref="H4:H8">
    <cfRule type="colorScale" priority="1">
      <colorScale>
        <cfvo type="min"/>
        <cfvo type="max"/>
        <color rgb="FFFFFFFF"/>
        <color rgb="FFE67C73"/>
      </colorScale>
    </cfRule>
  </conditionalFormatting>
  <conditionalFormatting sqref="E16:M16">
    <cfRule type="colorScale" priority="2">
      <colorScale>
        <cfvo type="min"/>
        <cfvo type="percentile" val="50"/>
        <cfvo type="max"/>
        <color rgb="FF57BB8A"/>
        <color rgb="FFFFD666"/>
        <color rgb="FFE67C73"/>
      </colorScale>
    </cfRule>
  </conditionalFormatting>
  <conditionalFormatting sqref="B28:B30">
    <cfRule type="cellIs" dxfId="0" priority="3" operator="greaterThan">
      <formula>26</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8.71"/>
    <col customWidth="1" min="9" max="9" width="12.14"/>
    <col customWidth="1" min="10" max="10" width="8.71"/>
    <col customWidth="1" min="11" max="11" width="8.0"/>
    <col customWidth="1" min="12" max="12" width="4.29"/>
    <col customWidth="1" min="13" max="16" width="5.43"/>
    <col customWidth="1" min="17" max="29" width="8.71"/>
  </cols>
  <sheetData>
    <row r="1">
      <c r="A1" s="101" t="s">
        <v>294</v>
      </c>
      <c r="B1" s="49" t="s">
        <v>348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122</v>
      </c>
      <c r="B4" s="6">
        <v>150.0</v>
      </c>
      <c r="C4" s="6">
        <v>150.0</v>
      </c>
      <c r="D4" s="4" t="s">
        <v>6</v>
      </c>
      <c r="E4" s="6">
        <f t="shared" ref="E4:E12" si="1">B4-C4</f>
        <v>0</v>
      </c>
      <c r="F4" s="5">
        <f t="shared" ref="F4:F11" si="2">E4/B4*100</f>
        <v>0</v>
      </c>
      <c r="G4" s="5">
        <f>VLOOKUP(A4,'Матрица поставщиков'!A1:E530,5,0) * B4</f>
        <v>125.925</v>
      </c>
      <c r="H4" s="59">
        <f t="shared" ref="H4:H6" si="3">G4/$G$12</f>
        <v>0.6554227749</v>
      </c>
      <c r="I4" s="103"/>
    </row>
    <row r="5">
      <c r="A5" s="6" t="s">
        <v>163</v>
      </c>
      <c r="B5" s="6">
        <v>15.0</v>
      </c>
      <c r="C5" s="6">
        <v>15.0</v>
      </c>
      <c r="D5" s="4" t="s">
        <v>6</v>
      </c>
      <c r="E5" s="6">
        <f t="shared" si="1"/>
        <v>0</v>
      </c>
      <c r="F5" s="5">
        <f t="shared" si="2"/>
        <v>0</v>
      </c>
      <c r="G5" s="5">
        <f>VLOOKUP(A5,'Матрица поставщиков'!A2:E531,5,0) * B5</f>
        <v>9.285</v>
      </c>
      <c r="H5" s="59">
        <f t="shared" si="3"/>
        <v>0.04832718257</v>
      </c>
      <c r="I5" s="81"/>
    </row>
    <row r="6">
      <c r="A6" s="6" t="s">
        <v>25</v>
      </c>
      <c r="B6" s="6">
        <v>100.0</v>
      </c>
      <c r="C6" s="6">
        <v>100.0</v>
      </c>
      <c r="D6" s="6" t="s">
        <v>332</v>
      </c>
      <c r="E6" s="6">
        <f t="shared" si="1"/>
        <v>0</v>
      </c>
      <c r="F6" s="5">
        <f t="shared" si="2"/>
        <v>0</v>
      </c>
      <c r="G6" s="5">
        <f>VLOOKUP(A6,'Матрица поставщиков'!A1:E56,5,0)</f>
        <v>14.5</v>
      </c>
      <c r="H6" s="59">
        <f t="shared" si="3"/>
        <v>0.07547055974</v>
      </c>
      <c r="I6" s="81"/>
    </row>
    <row r="7">
      <c r="A7" s="6" t="s">
        <v>104</v>
      </c>
      <c r="B7" s="6">
        <v>30.0</v>
      </c>
      <c r="C7" s="6">
        <v>30.0</v>
      </c>
      <c r="D7" s="4" t="s">
        <v>6</v>
      </c>
      <c r="E7" s="6">
        <f t="shared" si="1"/>
        <v>0</v>
      </c>
      <c r="F7" s="5">
        <f t="shared" si="2"/>
        <v>0</v>
      </c>
      <c r="G7" s="5">
        <f>VLOOKUP(A7,'Матрица поставщиков'!A1:E53,5,0) * B7</f>
        <v>10.5</v>
      </c>
      <c r="H7" s="59">
        <f>G7/G12</f>
        <v>0.05465109499</v>
      </c>
      <c r="I7" s="81"/>
    </row>
    <row r="8" ht="15.75" customHeight="1">
      <c r="A8" s="6" t="s">
        <v>341</v>
      </c>
      <c r="B8" s="6">
        <v>250.0</v>
      </c>
      <c r="C8" s="6">
        <v>80.0</v>
      </c>
      <c r="D8" s="4" t="s">
        <v>12</v>
      </c>
      <c r="E8" s="6">
        <f t="shared" si="1"/>
        <v>170</v>
      </c>
      <c r="F8" s="5">
        <f t="shared" si="2"/>
        <v>68</v>
      </c>
      <c r="G8" s="5">
        <f>('пф искандер соус'!G11/'пф искандер соус'!I11)*B8</f>
        <v>9.0405</v>
      </c>
      <c r="H8" s="59">
        <f t="shared" ref="H8:H11" si="4">G8/$G$12</f>
        <v>0.04705459278</v>
      </c>
      <c r="I8" s="81"/>
      <c r="K8" s="15" t="s">
        <v>374</v>
      </c>
    </row>
    <row r="9">
      <c r="A9" s="6" t="s">
        <v>24</v>
      </c>
      <c r="B9" s="6">
        <v>30.0</v>
      </c>
      <c r="C9" s="6">
        <v>30.0</v>
      </c>
      <c r="D9" s="4" t="s">
        <v>6</v>
      </c>
      <c r="E9" s="6">
        <f t="shared" si="1"/>
        <v>0</v>
      </c>
      <c r="F9" s="5">
        <f t="shared" si="2"/>
        <v>0</v>
      </c>
      <c r="G9" s="5">
        <f>VLOOKUP(A9,'Матрица поставщиков'!A1:E57,5,0) * B9</f>
        <v>10.94</v>
      </c>
      <c r="H9" s="59">
        <f t="shared" si="4"/>
        <v>0.05694123611</v>
      </c>
      <c r="I9" s="81"/>
    </row>
    <row r="10">
      <c r="A10" s="6" t="s">
        <v>127</v>
      </c>
      <c r="B10" s="6">
        <v>25.0</v>
      </c>
      <c r="C10" s="6">
        <f>B10</f>
        <v>25</v>
      </c>
      <c r="D10" s="4" t="s">
        <v>6</v>
      </c>
      <c r="E10" s="6">
        <f t="shared" si="1"/>
        <v>0</v>
      </c>
      <c r="F10" s="5">
        <f t="shared" si="2"/>
        <v>0</v>
      </c>
      <c r="G10" s="5">
        <f>VLOOKUP(A10,'Матрица поставщиков'!A1:E53,5,0) * B10</f>
        <v>2.381578947</v>
      </c>
      <c r="H10" s="59">
        <f t="shared" si="4"/>
        <v>0.01239579974</v>
      </c>
      <c r="I10" s="81"/>
    </row>
    <row r="11">
      <c r="A11" s="6" t="s">
        <v>324</v>
      </c>
      <c r="B11" s="6">
        <v>30.0</v>
      </c>
      <c r="C11" s="6">
        <v>30.0</v>
      </c>
      <c r="D11" s="4" t="s">
        <v>6</v>
      </c>
      <c r="E11" s="6">
        <f t="shared" si="1"/>
        <v>0</v>
      </c>
      <c r="F11" s="5">
        <f t="shared" si="2"/>
        <v>0</v>
      </c>
      <c r="G11" s="106">
        <f>('пф Фри'!G7/'пф Фри'!I7) * B11</f>
        <v>9.555819</v>
      </c>
      <c r="H11" s="59">
        <f t="shared" si="4"/>
        <v>0.04973675922</v>
      </c>
      <c r="I11" s="52"/>
    </row>
    <row r="12">
      <c r="A12" s="44" t="s">
        <v>227</v>
      </c>
      <c r="B12" s="4">
        <f t="shared" ref="B12:C12" si="5">SUM(B4:B11)</f>
        <v>630</v>
      </c>
      <c r="C12" s="4">
        <f t="shared" si="5"/>
        <v>460</v>
      </c>
      <c r="D12" s="82" t="s">
        <v>275</v>
      </c>
      <c r="E12" s="6">
        <f t="shared" si="1"/>
        <v>170</v>
      </c>
      <c r="F12" s="82" t="s">
        <v>275</v>
      </c>
      <c r="G12" s="60">
        <f t="shared" ref="G12:H12" si="6">SUM(G4:G11)</f>
        <v>192.1278979</v>
      </c>
      <c r="H12" s="61">
        <f t="shared" si="6"/>
        <v>1</v>
      </c>
      <c r="I12" s="108">
        <f>B12-E12</f>
        <v>460</v>
      </c>
    </row>
    <row r="13">
      <c r="F13" s="41"/>
    </row>
    <row r="14">
      <c r="A14" s="63" t="s">
        <v>238</v>
      </c>
    </row>
    <row r="15">
      <c r="A15" s="65" t="s">
        <v>375</v>
      </c>
      <c r="J15" s="65"/>
      <c r="K15" s="65"/>
      <c r="L15" s="65"/>
      <c r="M15" s="65"/>
      <c r="N15" s="65"/>
      <c r="O15" s="65"/>
      <c r="P15" s="65"/>
      <c r="Q15" s="65"/>
      <c r="R15" s="65"/>
      <c r="S15" s="65"/>
    </row>
    <row r="16">
      <c r="A16" s="70"/>
      <c r="F16" s="41"/>
    </row>
    <row r="17">
      <c r="A17" s="67" t="s">
        <v>241</v>
      </c>
      <c r="B17" s="68"/>
      <c r="C17" s="68"/>
      <c r="D17" s="68"/>
      <c r="E17" s="68"/>
      <c r="F17" s="68"/>
      <c r="G17" s="68"/>
      <c r="H17" s="68"/>
      <c r="I17" s="68"/>
      <c r="J17" s="68"/>
      <c r="K17" s="68"/>
      <c r="L17" s="69"/>
    </row>
    <row r="18">
      <c r="A18" s="44" t="s">
        <v>300</v>
      </c>
      <c r="B18" s="44" t="s">
        <v>301</v>
      </c>
      <c r="C18" s="44" t="s">
        <v>242</v>
      </c>
      <c r="F18" s="41"/>
    </row>
    <row r="19">
      <c r="A19" s="6" t="s">
        <v>277</v>
      </c>
      <c r="B19" s="84">
        <f>C19/C27</f>
        <v>0.9154706357</v>
      </c>
      <c r="C19" s="34">
        <f>G12</f>
        <v>192.1278979</v>
      </c>
      <c r="E19" s="72" t="s">
        <v>244</v>
      </c>
      <c r="F19" s="6">
        <v>25.0</v>
      </c>
      <c r="G19" s="6">
        <v>26.0</v>
      </c>
      <c r="H19" s="6">
        <v>27.0</v>
      </c>
      <c r="I19" s="6">
        <v>27.75</v>
      </c>
      <c r="J19" s="6">
        <v>29.0</v>
      </c>
      <c r="K19" s="6">
        <v>30.0</v>
      </c>
      <c r="L19" s="6">
        <v>31.0</v>
      </c>
    </row>
    <row r="20">
      <c r="A20" s="6" t="s">
        <v>249</v>
      </c>
      <c r="B20" s="84">
        <f>C20/C27</f>
        <v>0.009529804318</v>
      </c>
      <c r="C20" s="93">
        <v>2.0</v>
      </c>
      <c r="E20" s="72" t="s">
        <v>245</v>
      </c>
      <c r="F20" s="73">
        <f>C27*100/F19</f>
        <v>839.4715918</v>
      </c>
      <c r="G20" s="73">
        <f>C27*100/G19</f>
        <v>807.1842229</v>
      </c>
      <c r="H20" s="73">
        <f>C27*100/H19</f>
        <v>777.2885109</v>
      </c>
      <c r="I20" s="73">
        <f>C27*100/I19</f>
        <v>756.2807133</v>
      </c>
      <c r="J20" s="73">
        <f>C27*100/J19</f>
        <v>723.6824067</v>
      </c>
      <c r="K20" s="73">
        <f>C27*100/K19</f>
        <v>699.5596598</v>
      </c>
      <c r="L20" s="73">
        <f>C27*100/L19</f>
        <v>676.9932192</v>
      </c>
    </row>
    <row r="21">
      <c r="A21" s="6" t="s">
        <v>250</v>
      </c>
      <c r="B21" s="84">
        <f>C21/C27</f>
        <v>0.005717882591</v>
      </c>
      <c r="C21" s="93">
        <v>1.2</v>
      </c>
      <c r="F21" s="41"/>
      <c r="G21" s="41"/>
      <c r="H21" s="41"/>
      <c r="I21" s="41"/>
      <c r="J21" s="41"/>
      <c r="K21" s="41"/>
      <c r="L21" s="41"/>
    </row>
    <row r="22">
      <c r="A22" s="6" t="s">
        <v>251</v>
      </c>
      <c r="B22" s="84">
        <f>C22/C27</f>
        <v>0.001620066734</v>
      </c>
      <c r="C22" s="93">
        <v>0.34</v>
      </c>
      <c r="F22" s="41"/>
      <c r="G22" s="41"/>
      <c r="H22" s="41"/>
      <c r="I22" s="41"/>
      <c r="J22" s="41"/>
      <c r="K22" s="41"/>
      <c r="L22" s="41"/>
    </row>
    <row r="23">
      <c r="A23" s="6" t="s">
        <v>252</v>
      </c>
      <c r="B23" s="84">
        <f t="shared" ref="B23:B24" si="7">C23/$C$26</f>
        <v>0.6896551724</v>
      </c>
      <c r="C23" s="93">
        <v>2.0</v>
      </c>
      <c r="F23" s="41"/>
      <c r="G23" s="41"/>
      <c r="H23" s="41"/>
      <c r="I23" s="41"/>
      <c r="J23" s="41"/>
      <c r="K23" s="41"/>
      <c r="L23" s="41"/>
    </row>
    <row r="24">
      <c r="A24" s="6" t="s">
        <v>253</v>
      </c>
      <c r="B24" s="84">
        <f t="shared" si="7"/>
        <v>0.8620689655</v>
      </c>
      <c r="C24" s="93">
        <v>2.5</v>
      </c>
      <c r="F24" s="41"/>
      <c r="G24" s="41"/>
      <c r="H24" s="41"/>
      <c r="I24" s="41"/>
      <c r="J24" s="41"/>
      <c r="K24" s="41"/>
      <c r="L24" s="41"/>
    </row>
    <row r="25">
      <c r="A25" s="6" t="s">
        <v>345</v>
      </c>
      <c r="B25" s="84">
        <f>C25/C27</f>
        <v>0.03240133468</v>
      </c>
      <c r="C25" s="15">
        <v>6.8</v>
      </c>
      <c r="F25" s="41"/>
    </row>
    <row r="26">
      <c r="A26" s="6" t="s">
        <v>346</v>
      </c>
      <c r="B26" s="84">
        <f>C26/C27</f>
        <v>0.01381821626</v>
      </c>
      <c r="C26" s="15">
        <v>2.9</v>
      </c>
      <c r="F26" s="41"/>
    </row>
    <row r="27">
      <c r="A27" s="44" t="s">
        <v>278</v>
      </c>
      <c r="B27" s="4"/>
      <c r="C27" s="60">
        <f>SUM(C19:C26)</f>
        <v>209.8678979</v>
      </c>
      <c r="F27" s="41"/>
    </row>
    <row r="28">
      <c r="F28" s="41"/>
    </row>
    <row r="29">
      <c r="A29" s="6" t="s">
        <v>257</v>
      </c>
      <c r="B29" s="59">
        <f>C27/B31</f>
        <v>0.2998112828</v>
      </c>
      <c r="F29" s="41"/>
    </row>
    <row r="30" ht="15.75" customHeight="1">
      <c r="A30" s="6" t="s">
        <v>258</v>
      </c>
      <c r="B30" s="59">
        <f>C19/B31</f>
        <v>0.2744684256</v>
      </c>
      <c r="F30" s="41"/>
    </row>
    <row r="31" ht="15.75" customHeight="1">
      <c r="A31" s="44" t="s">
        <v>308</v>
      </c>
      <c r="B31" s="46">
        <v>700.0</v>
      </c>
      <c r="F31" s="41"/>
    </row>
    <row r="32" ht="15.75" customHeight="1">
      <c r="F32" s="41"/>
    </row>
    <row r="33" ht="15.75" customHeight="1">
      <c r="F33" s="41"/>
    </row>
    <row r="34" ht="15.75" customHeight="1">
      <c r="F34" s="41"/>
    </row>
    <row r="35" ht="15.75" customHeight="1">
      <c r="F35" s="41"/>
    </row>
    <row r="36" ht="15.75" customHeight="1">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sheetData>
  <autoFilter ref="$A$3:$H$11">
    <sortState ref="A3:H11">
      <sortCondition descending="1" ref="H3:H11"/>
    </sortState>
  </autoFilter>
  <mergeCells count="6">
    <mergeCell ref="A1:A2"/>
    <mergeCell ref="B1:I2"/>
    <mergeCell ref="I4:I11"/>
    <mergeCell ref="A14:I14"/>
    <mergeCell ref="A15:I15"/>
    <mergeCell ref="A17:L17"/>
  </mergeCells>
  <conditionalFormatting sqref="H4:H11">
    <cfRule type="colorScale" priority="1">
      <colorScale>
        <cfvo type="min"/>
        <cfvo type="max"/>
        <color rgb="FFFFFFFF"/>
        <color rgb="FFE67C73"/>
      </colorScale>
    </cfRule>
  </conditionalFormatting>
  <conditionalFormatting sqref="E19:M19">
    <cfRule type="colorScale" priority="2">
      <colorScale>
        <cfvo type="min"/>
        <cfvo type="percentile" val="50"/>
        <cfvo type="max"/>
        <color rgb="FF57BB8A"/>
        <color rgb="FFFFD666"/>
        <color rgb="FFE67C73"/>
      </colorScale>
    </cfRule>
  </conditionalFormatting>
  <conditionalFormatting sqref="B29:B30">
    <cfRule type="cellIs" dxfId="0" priority="3" operator="greaterThan">
      <formula>26</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2.0"/>
    <col customWidth="1" min="5" max="5" width="17.14"/>
    <col customWidth="1" min="6" max="6" width="12.57"/>
    <col customWidth="1" min="7" max="7" width="11.0"/>
    <col customWidth="1" min="8" max="8" width="8.71"/>
    <col customWidth="1" min="9" max="9" width="12.14"/>
    <col customWidth="1" min="10" max="10" width="8.71"/>
    <col customWidth="1" min="11" max="11" width="55.86"/>
    <col customWidth="1" min="12" max="12" width="4.29"/>
    <col customWidth="1" min="13" max="16" width="5.43"/>
    <col customWidth="1" min="17" max="29" width="8.71"/>
  </cols>
  <sheetData>
    <row r="1">
      <c r="A1" s="101" t="s">
        <v>294</v>
      </c>
      <c r="B1" s="49" t="s">
        <v>348</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339</v>
      </c>
      <c r="B4" s="6">
        <v>80.0</v>
      </c>
      <c r="C4" s="6">
        <f>B4</f>
        <v>80</v>
      </c>
      <c r="D4" s="4" t="s">
        <v>6</v>
      </c>
      <c r="E4" s="6">
        <f t="shared" ref="E4:E12" si="1">B4-C4</f>
        <v>0</v>
      </c>
      <c r="F4" s="5">
        <f t="shared" ref="F4:F11" si="2">E4/B4*100</f>
        <v>0</v>
      </c>
      <c r="G4" s="106">
        <f>'пф курица готовая'!G6/'пф курица готовая'!I6*B4</f>
        <v>41.13508066</v>
      </c>
      <c r="H4" s="59">
        <f t="shared" ref="H4:H5" si="3">G4/$G$12</f>
        <v>0.3150834328</v>
      </c>
      <c r="I4" s="103"/>
    </row>
    <row r="5">
      <c r="A5" s="6" t="s">
        <v>25</v>
      </c>
      <c r="B5" s="6">
        <v>100.0</v>
      </c>
      <c r="C5" s="6">
        <v>100.0</v>
      </c>
      <c r="D5" s="6" t="s">
        <v>332</v>
      </c>
      <c r="E5" s="6">
        <f t="shared" si="1"/>
        <v>0</v>
      </c>
      <c r="F5" s="5">
        <f t="shared" si="2"/>
        <v>0</v>
      </c>
      <c r="G5" s="5">
        <f>VLOOKUP(A5,'Матрица поставщиков'!A1:E56,5,0)</f>
        <v>14.5</v>
      </c>
      <c r="H5" s="59">
        <f t="shared" si="3"/>
        <v>0.111066022</v>
      </c>
      <c r="I5" s="81"/>
    </row>
    <row r="6">
      <c r="A6" s="6" t="s">
        <v>104</v>
      </c>
      <c r="B6" s="6">
        <v>30.0</v>
      </c>
      <c r="C6" s="6">
        <v>30.0</v>
      </c>
      <c r="D6" s="4" t="s">
        <v>6</v>
      </c>
      <c r="E6" s="6">
        <f t="shared" si="1"/>
        <v>0</v>
      </c>
      <c r="F6" s="5">
        <f t="shared" si="2"/>
        <v>0</v>
      </c>
      <c r="G6" s="5">
        <f>VLOOKUP(A6,'Матрица поставщиков'!A1:E53,5,0) * B6</f>
        <v>10.5</v>
      </c>
      <c r="H6" s="59">
        <f>G6/G12</f>
        <v>0.08042711941</v>
      </c>
      <c r="I6" s="81"/>
    </row>
    <row r="7" ht="15.75" customHeight="1">
      <c r="A7" s="6" t="s">
        <v>341</v>
      </c>
      <c r="B7" s="6">
        <v>250.0</v>
      </c>
      <c r="C7" s="6">
        <v>80.0</v>
      </c>
      <c r="D7" s="4" t="s">
        <v>12</v>
      </c>
      <c r="E7" s="6">
        <f t="shared" si="1"/>
        <v>170</v>
      </c>
      <c r="F7" s="5">
        <f t="shared" si="2"/>
        <v>68</v>
      </c>
      <c r="G7" s="5">
        <f>('пф искандер соус'!G11/'пф искандер соус'!I11)*B7</f>
        <v>9.0405</v>
      </c>
      <c r="H7" s="59">
        <f>G7/$G$12</f>
        <v>0.06924774981</v>
      </c>
      <c r="I7" s="81"/>
    </row>
    <row r="8">
      <c r="A8" s="6" t="s">
        <v>111</v>
      </c>
      <c r="B8" s="6">
        <v>37.5</v>
      </c>
      <c r="C8" s="6">
        <f>B8</f>
        <v>37.5</v>
      </c>
      <c r="D8" s="4" t="s">
        <v>6</v>
      </c>
      <c r="E8" s="6">
        <f t="shared" si="1"/>
        <v>0</v>
      </c>
      <c r="F8" s="5">
        <f t="shared" si="2"/>
        <v>0</v>
      </c>
      <c r="G8" s="5">
        <f>VLOOKUP(A8,'Матрица поставщиков'!A1:E52,5,0) * B8</f>
        <v>32.5</v>
      </c>
      <c r="H8" s="59">
        <f>G8/G12</f>
        <v>0.2489410839</v>
      </c>
      <c r="I8" s="81"/>
      <c r="K8" s="15" t="s">
        <v>376</v>
      </c>
    </row>
    <row r="9">
      <c r="A9" s="6" t="s">
        <v>24</v>
      </c>
      <c r="B9" s="6">
        <v>30.0</v>
      </c>
      <c r="C9" s="6">
        <v>30.0</v>
      </c>
      <c r="D9" s="4" t="s">
        <v>6</v>
      </c>
      <c r="E9" s="6">
        <f t="shared" si="1"/>
        <v>0</v>
      </c>
      <c r="F9" s="5">
        <f t="shared" si="2"/>
        <v>0</v>
      </c>
      <c r="G9" s="5">
        <f>VLOOKUP(A9,'Матрица поставщиков'!A1:E57,5,0) * B9</f>
        <v>10.94</v>
      </c>
      <c r="H9" s="59">
        <f t="shared" ref="H9:H11" si="4">G9/$G$12</f>
        <v>0.0837973987</v>
      </c>
      <c r="I9" s="81"/>
    </row>
    <row r="10">
      <c r="A10" s="6" t="s">
        <v>127</v>
      </c>
      <c r="B10" s="6">
        <v>25.0</v>
      </c>
      <c r="C10" s="6">
        <f>B10</f>
        <v>25</v>
      </c>
      <c r="D10" s="4" t="s">
        <v>6</v>
      </c>
      <c r="E10" s="6">
        <f t="shared" si="1"/>
        <v>0</v>
      </c>
      <c r="F10" s="5">
        <f t="shared" si="2"/>
        <v>0</v>
      </c>
      <c r="G10" s="5">
        <f>VLOOKUP(A10,'Матрица поставщиков'!A1:E53,5,0) * B10</f>
        <v>2.381578947</v>
      </c>
      <c r="H10" s="59">
        <f t="shared" si="4"/>
        <v>0.01824224137</v>
      </c>
      <c r="I10" s="81"/>
    </row>
    <row r="11">
      <c r="A11" s="6" t="s">
        <v>324</v>
      </c>
      <c r="B11" s="6">
        <v>30.0</v>
      </c>
      <c r="C11" s="6">
        <v>30.0</v>
      </c>
      <c r="D11" s="4" t="s">
        <v>6</v>
      </c>
      <c r="E11" s="6">
        <f t="shared" si="1"/>
        <v>0</v>
      </c>
      <c r="F11" s="5">
        <f t="shared" si="2"/>
        <v>0</v>
      </c>
      <c r="G11" s="106">
        <f>('пф Фри'!G7/'пф Фри'!I7) * B11</f>
        <v>9.555819</v>
      </c>
      <c r="H11" s="59">
        <f t="shared" si="4"/>
        <v>0.07319495198</v>
      </c>
      <c r="I11" s="52"/>
    </row>
    <row r="12">
      <c r="A12" s="44" t="s">
        <v>227</v>
      </c>
      <c r="B12" s="4">
        <f t="shared" ref="B12:C12" si="5">SUM(B4:B11)</f>
        <v>582.5</v>
      </c>
      <c r="C12" s="4">
        <f t="shared" si="5"/>
        <v>412.5</v>
      </c>
      <c r="D12" s="82" t="s">
        <v>275</v>
      </c>
      <c r="E12" s="6">
        <f t="shared" si="1"/>
        <v>170</v>
      </c>
      <c r="F12" s="82" t="s">
        <v>275</v>
      </c>
      <c r="G12" s="60">
        <f t="shared" ref="G12:H12" si="6">SUM(G4:G11)</f>
        <v>130.5529786</v>
      </c>
      <c r="H12" s="61">
        <f t="shared" si="6"/>
        <v>1</v>
      </c>
      <c r="I12" s="104">
        <f>B12-E12</f>
        <v>412.5</v>
      </c>
    </row>
    <row r="13">
      <c r="F13" s="41"/>
    </row>
    <row r="14">
      <c r="A14" s="63" t="s">
        <v>238</v>
      </c>
    </row>
    <row r="15">
      <c r="A15" s="65" t="s">
        <v>375</v>
      </c>
      <c r="J15" s="65"/>
      <c r="K15" s="65"/>
      <c r="L15" s="65"/>
      <c r="M15" s="65"/>
      <c r="N15" s="65"/>
      <c r="O15" s="65"/>
      <c r="P15" s="65"/>
      <c r="Q15" s="65"/>
      <c r="R15" s="65"/>
      <c r="S15" s="65"/>
    </row>
    <row r="16">
      <c r="A16" s="70"/>
      <c r="F16" s="41"/>
    </row>
    <row r="17">
      <c r="A17" s="67" t="s">
        <v>241</v>
      </c>
      <c r="B17" s="68"/>
      <c r="C17" s="68"/>
      <c r="D17" s="68"/>
      <c r="E17" s="68"/>
      <c r="F17" s="68"/>
      <c r="G17" s="68"/>
      <c r="H17" s="68"/>
      <c r="I17" s="68"/>
      <c r="J17" s="68"/>
      <c r="K17" s="68"/>
      <c r="L17" s="69"/>
    </row>
    <row r="18">
      <c r="A18" s="44" t="s">
        <v>300</v>
      </c>
      <c r="B18" s="44" t="s">
        <v>301</v>
      </c>
      <c r="C18" s="44" t="s">
        <v>242</v>
      </c>
      <c r="F18" s="41"/>
    </row>
    <row r="19">
      <c r="A19" s="6" t="s">
        <v>277</v>
      </c>
      <c r="B19" s="84">
        <f>C19/C27</f>
        <v>0.8803719491</v>
      </c>
      <c r="C19" s="34">
        <f>G12</f>
        <v>130.5529786</v>
      </c>
      <c r="E19" s="72" t="s">
        <v>244</v>
      </c>
      <c r="F19" s="6">
        <v>25.0</v>
      </c>
      <c r="G19" s="6">
        <v>26.0</v>
      </c>
      <c r="H19" s="6">
        <v>27.0</v>
      </c>
      <c r="I19" s="6">
        <v>27.75</v>
      </c>
      <c r="J19" s="6">
        <v>29.0</v>
      </c>
      <c r="K19" s="6">
        <v>30.0</v>
      </c>
      <c r="L19" s="6">
        <v>31.0</v>
      </c>
    </row>
    <row r="20">
      <c r="A20" s="6" t="s">
        <v>249</v>
      </c>
      <c r="B20" s="84">
        <f>C20/C27</f>
        <v>0.01348681521</v>
      </c>
      <c r="C20" s="93">
        <v>2.0</v>
      </c>
      <c r="E20" s="72" t="s">
        <v>245</v>
      </c>
      <c r="F20" s="73">
        <f>C27*100/F19</f>
        <v>593.1719144</v>
      </c>
      <c r="G20" s="73">
        <f>C27*100/G19</f>
        <v>570.35761</v>
      </c>
      <c r="H20" s="73">
        <f>C27*100/H19</f>
        <v>549.2332541</v>
      </c>
      <c r="I20" s="73">
        <f>C27*100/I19</f>
        <v>534.3891121</v>
      </c>
      <c r="J20" s="73">
        <f>C27*100/J19</f>
        <v>511.3550986</v>
      </c>
      <c r="K20" s="73">
        <f>C27*100/K19</f>
        <v>494.3099287</v>
      </c>
      <c r="L20" s="73">
        <f>C27*100/L19</f>
        <v>478.3644471</v>
      </c>
    </row>
    <row r="21">
      <c r="A21" s="6" t="s">
        <v>250</v>
      </c>
      <c r="B21" s="84">
        <f>C21/C27</f>
        <v>0.008092089128</v>
      </c>
      <c r="C21" s="93">
        <v>1.2</v>
      </c>
      <c r="F21" s="41"/>
      <c r="G21" s="41"/>
      <c r="H21" s="41"/>
      <c r="I21" s="41"/>
      <c r="J21" s="41"/>
      <c r="K21" s="41"/>
      <c r="L21" s="41"/>
    </row>
    <row r="22">
      <c r="A22" s="6" t="s">
        <v>251</v>
      </c>
      <c r="B22" s="84">
        <f>C22/C27</f>
        <v>0.002292758586</v>
      </c>
      <c r="C22" s="93">
        <v>0.34</v>
      </c>
      <c r="F22" s="41"/>
      <c r="G22" s="41"/>
      <c r="H22" s="41"/>
      <c r="I22" s="41"/>
      <c r="J22" s="41"/>
      <c r="K22" s="41"/>
      <c r="L22" s="41"/>
    </row>
    <row r="23">
      <c r="A23" s="6" t="s">
        <v>252</v>
      </c>
      <c r="B23" s="84">
        <f t="shared" ref="B23:B24" si="7">C23/$C$26</f>
        <v>0.6896551724</v>
      </c>
      <c r="C23" s="93">
        <v>2.0</v>
      </c>
      <c r="F23" s="41"/>
      <c r="G23" s="41"/>
      <c r="H23" s="41"/>
      <c r="I23" s="41"/>
      <c r="J23" s="41"/>
      <c r="K23" s="41"/>
      <c r="L23" s="41"/>
    </row>
    <row r="24">
      <c r="A24" s="6" t="s">
        <v>253</v>
      </c>
      <c r="B24" s="84">
        <f t="shared" si="7"/>
        <v>0.8620689655</v>
      </c>
      <c r="C24" s="93">
        <v>2.5</v>
      </c>
      <c r="F24" s="41"/>
    </row>
    <row r="25">
      <c r="A25" s="6" t="s">
        <v>345</v>
      </c>
      <c r="B25" s="84">
        <f>C25/C27</f>
        <v>0.04585517173</v>
      </c>
      <c r="C25" s="15">
        <v>6.8</v>
      </c>
      <c r="F25" s="41"/>
    </row>
    <row r="26">
      <c r="A26" s="6" t="s">
        <v>346</v>
      </c>
      <c r="B26" s="84">
        <f>C26/C27</f>
        <v>0.01955588206</v>
      </c>
      <c r="C26" s="15">
        <v>2.9</v>
      </c>
      <c r="F26" s="41"/>
    </row>
    <row r="27">
      <c r="A27" s="44" t="s">
        <v>278</v>
      </c>
      <c r="B27" s="4"/>
      <c r="C27" s="60">
        <f>SUM(C19:C26)</f>
        <v>148.2929786</v>
      </c>
      <c r="F27" s="41"/>
    </row>
    <row r="28">
      <c r="F28" s="41"/>
    </row>
    <row r="29">
      <c r="A29" s="6" t="s">
        <v>257</v>
      </c>
      <c r="B29" s="59">
        <f>C27/B31</f>
        <v>0.2696235975</v>
      </c>
      <c r="F29" s="41"/>
    </row>
    <row r="30" ht="15.75" customHeight="1">
      <c r="A30" s="6" t="s">
        <v>258</v>
      </c>
      <c r="B30" s="59">
        <f>C19/B31</f>
        <v>0.237369052</v>
      </c>
      <c r="F30" s="41"/>
    </row>
    <row r="31" ht="15.75" customHeight="1">
      <c r="A31" s="44" t="s">
        <v>308</v>
      </c>
      <c r="B31" s="46">
        <v>550.0</v>
      </c>
      <c r="F31" s="41"/>
    </row>
    <row r="32" ht="15.75" customHeight="1">
      <c r="F32" s="41"/>
    </row>
    <row r="33" ht="15.75" customHeight="1">
      <c r="F33" s="41"/>
    </row>
    <row r="34" ht="15.75" customHeight="1">
      <c r="F34" s="41"/>
    </row>
    <row r="35" ht="15.75" customHeight="1">
      <c r="F35" s="41"/>
    </row>
    <row r="36" ht="15.75" customHeight="1">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row r="1005" ht="15.75" customHeight="1">
      <c r="F1005" s="41"/>
    </row>
    <row r="1006" ht="15.75" customHeight="1">
      <c r="F1006" s="41"/>
    </row>
    <row r="1007" ht="15.75" customHeight="1">
      <c r="F1007" s="41"/>
    </row>
    <row r="1008" ht="15.75" customHeight="1">
      <c r="F1008" s="41"/>
    </row>
    <row r="1009" ht="15.75" customHeight="1">
      <c r="F1009" s="41"/>
    </row>
  </sheetData>
  <autoFilter ref="$A$3:$H$11">
    <sortState ref="A3:H11">
      <sortCondition descending="1" ref="H3:H11"/>
    </sortState>
  </autoFilter>
  <mergeCells count="6">
    <mergeCell ref="A1:A2"/>
    <mergeCell ref="B1:I2"/>
    <mergeCell ref="I4:I11"/>
    <mergeCell ref="A14:I14"/>
    <mergeCell ref="A15:I15"/>
    <mergeCell ref="A17:L17"/>
  </mergeCells>
  <conditionalFormatting sqref="H4:H11">
    <cfRule type="colorScale" priority="1">
      <colorScale>
        <cfvo type="min"/>
        <cfvo type="max"/>
        <color rgb="FFFFFFFF"/>
        <color rgb="FFE67C73"/>
      </colorScale>
    </cfRule>
  </conditionalFormatting>
  <conditionalFormatting sqref="E19:M19">
    <cfRule type="colorScale" priority="2">
      <colorScale>
        <cfvo type="min"/>
        <cfvo type="percentile" val="50"/>
        <cfvo type="max"/>
        <color rgb="FF57BB8A"/>
        <color rgb="FFFFD666"/>
        <color rgb="FFE67C73"/>
      </colorScale>
    </cfRule>
  </conditionalFormatting>
  <conditionalFormatting sqref="B29:B30">
    <cfRule type="cellIs" dxfId="0" priority="3" operator="greaterThan">
      <formula>26</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2.14"/>
    <col customWidth="1" min="10" max="10" width="8.71"/>
    <col customWidth="1" min="11" max="11" width="8.0"/>
    <col customWidth="1" min="12" max="12" width="4.29"/>
    <col customWidth="1" min="13" max="16" width="5.43"/>
    <col customWidth="1" min="17" max="29" width="8.71"/>
  </cols>
  <sheetData>
    <row r="1">
      <c r="A1" s="101" t="s">
        <v>228</v>
      </c>
      <c r="B1" s="49" t="s">
        <v>377</v>
      </c>
      <c r="C1" s="50"/>
      <c r="D1" s="50"/>
      <c r="E1" s="50"/>
      <c r="F1" s="50"/>
      <c r="G1" s="50"/>
      <c r="H1" s="50"/>
      <c r="I1" s="51"/>
      <c r="K1" s="72" t="s">
        <v>244</v>
      </c>
      <c r="L1" s="6">
        <v>25.0</v>
      </c>
      <c r="M1" s="6">
        <v>26.0</v>
      </c>
      <c r="N1" s="6">
        <v>27.0</v>
      </c>
      <c r="O1" s="6">
        <v>28.0</v>
      </c>
      <c r="P1" s="6">
        <v>29.0</v>
      </c>
      <c r="Q1" s="6">
        <v>30.0</v>
      </c>
      <c r="R1" s="6">
        <v>31.0</v>
      </c>
    </row>
    <row r="2">
      <c r="A2" s="52"/>
      <c r="B2" s="53"/>
      <c r="C2" s="54"/>
      <c r="D2" s="54"/>
      <c r="E2" s="54"/>
      <c r="F2" s="54"/>
      <c r="G2" s="54"/>
      <c r="H2" s="54"/>
      <c r="I2" s="55"/>
      <c r="K2" s="72" t="s">
        <v>245</v>
      </c>
      <c r="L2" s="73">
        <f>G12*100/L1</f>
        <v>397.3178692</v>
      </c>
      <c r="M2" s="73">
        <f>G12*100/M1</f>
        <v>382.0364127</v>
      </c>
      <c r="N2" s="73">
        <f>G12*100/N1</f>
        <v>367.8869159</v>
      </c>
      <c r="O2" s="73">
        <f>G12*100/O1</f>
        <v>354.7480975</v>
      </c>
      <c r="P2" s="73">
        <f>G12*100/P1</f>
        <v>342.5154045</v>
      </c>
      <c r="Q2" s="73">
        <f>G12*100/Q1</f>
        <v>331.0982243</v>
      </c>
      <c r="R2" s="73">
        <f>G12*100/R1</f>
        <v>320.4176364</v>
      </c>
    </row>
    <row r="3">
      <c r="A3" s="56" t="s">
        <v>0</v>
      </c>
      <c r="B3" s="56" t="s">
        <v>230</v>
      </c>
      <c r="C3" s="56" t="s">
        <v>231</v>
      </c>
      <c r="D3" s="56" t="s">
        <v>1</v>
      </c>
      <c r="E3" s="57" t="s">
        <v>296</v>
      </c>
      <c r="F3" s="102" t="s">
        <v>233</v>
      </c>
      <c r="G3" s="57" t="s">
        <v>234</v>
      </c>
      <c r="H3" s="57" t="s">
        <v>235</v>
      </c>
      <c r="I3" s="57" t="s">
        <v>236</v>
      </c>
    </row>
    <row r="4">
      <c r="A4" s="6" t="s">
        <v>378</v>
      </c>
      <c r="B4" s="6">
        <v>90.0</v>
      </c>
      <c r="C4" s="6">
        <f t="shared" ref="C4:C6" si="1">B4</f>
        <v>90</v>
      </c>
      <c r="D4" s="4" t="s">
        <v>6</v>
      </c>
      <c r="E4" s="6">
        <f t="shared" ref="E4:E12" si="2">B4-C4</f>
        <v>0</v>
      </c>
      <c r="F4" s="5">
        <f t="shared" ref="F4:F11" si="3">E4/B4*100</f>
        <v>0</v>
      </c>
      <c r="G4" s="106">
        <f>'пф курица готовая'!G6/'пф курица готовая'!I6*B4</f>
        <v>46.27696574</v>
      </c>
      <c r="H4" s="59">
        <f t="shared" ref="H4:H5" si="4">G4/$G$12</f>
        <v>0.4658936265</v>
      </c>
      <c r="I4" s="103"/>
    </row>
    <row r="5">
      <c r="A5" s="6" t="s">
        <v>25</v>
      </c>
      <c r="B5" s="6">
        <v>100.0</v>
      </c>
      <c r="C5" s="6">
        <f t="shared" si="1"/>
        <v>100</v>
      </c>
      <c r="D5" s="4" t="s">
        <v>6</v>
      </c>
      <c r="E5" s="6">
        <f t="shared" si="2"/>
        <v>0</v>
      </c>
      <c r="F5" s="5">
        <f t="shared" si="3"/>
        <v>0</v>
      </c>
      <c r="G5" s="5">
        <f>VLOOKUP(A5,'Матрица поставщиков'!A1:E56,5,0)</f>
        <v>14.5</v>
      </c>
      <c r="H5" s="59">
        <f t="shared" si="4"/>
        <v>0.1459788358</v>
      </c>
      <c r="I5" s="81"/>
    </row>
    <row r="6">
      <c r="A6" s="6" t="s">
        <v>104</v>
      </c>
      <c r="B6" s="6">
        <v>20.0</v>
      </c>
      <c r="C6" s="6">
        <f t="shared" si="1"/>
        <v>20</v>
      </c>
      <c r="D6" s="4" t="s">
        <v>6</v>
      </c>
      <c r="E6" s="6">
        <f t="shared" si="2"/>
        <v>0</v>
      </c>
      <c r="F6" s="5">
        <f t="shared" si="3"/>
        <v>0</v>
      </c>
      <c r="G6" s="5">
        <f>VLOOKUP(A6,'Матрица поставщиков'!A1:E53,5,0) * B6</f>
        <v>7</v>
      </c>
      <c r="H6" s="59">
        <f>G6/G12</f>
        <v>0.07047254144</v>
      </c>
      <c r="I6" s="81"/>
    </row>
    <row r="7" ht="15.75" customHeight="1">
      <c r="A7" s="6" t="s">
        <v>341</v>
      </c>
      <c r="B7" s="6">
        <v>100.0</v>
      </c>
      <c r="C7" s="6">
        <v>70.0</v>
      </c>
      <c r="D7" s="4" t="s">
        <v>12</v>
      </c>
      <c r="E7" s="6">
        <f t="shared" si="2"/>
        <v>30</v>
      </c>
      <c r="F7" s="5">
        <f t="shared" si="3"/>
        <v>30</v>
      </c>
      <c r="G7" s="5">
        <f>('пф искандер соус'!G11/'пф искандер соус'!I11)*B7</f>
        <v>3.6162</v>
      </c>
      <c r="H7" s="59">
        <f>G7/$G$12</f>
        <v>0.03640611491</v>
      </c>
      <c r="I7" s="81"/>
    </row>
    <row r="8">
      <c r="A8" s="6" t="s">
        <v>102</v>
      </c>
      <c r="B8" s="6">
        <v>2.0</v>
      </c>
      <c r="C8" s="6">
        <f t="shared" ref="C8:C11" si="5">B8</f>
        <v>2</v>
      </c>
      <c r="D8" s="4" t="s">
        <v>6</v>
      </c>
      <c r="E8" s="6">
        <f t="shared" si="2"/>
        <v>0</v>
      </c>
      <c r="F8" s="5">
        <f t="shared" si="3"/>
        <v>0</v>
      </c>
      <c r="G8" s="5">
        <f>VLOOKUP(A8,'Матрица поставщиков'!A1:E52,5,0) * B8</f>
        <v>6.222222222</v>
      </c>
      <c r="H8" s="59">
        <f>G8/G12</f>
        <v>0.06264225905</v>
      </c>
      <c r="I8" s="81"/>
    </row>
    <row r="9">
      <c r="A9" s="6" t="s">
        <v>24</v>
      </c>
      <c r="B9" s="6">
        <v>15.0</v>
      </c>
      <c r="C9" s="6">
        <f t="shared" si="5"/>
        <v>15</v>
      </c>
      <c r="D9" s="4" t="s">
        <v>6</v>
      </c>
      <c r="E9" s="6">
        <f t="shared" si="2"/>
        <v>0</v>
      </c>
      <c r="F9" s="5">
        <f t="shared" si="3"/>
        <v>0</v>
      </c>
      <c r="G9" s="5">
        <f>VLOOKUP(A9,'Матрица поставщиков'!A1:E57,5,0) * B9</f>
        <v>5.47</v>
      </c>
      <c r="H9" s="59">
        <f t="shared" ref="H9:H11" si="6">G9/$G$12</f>
        <v>0.05506925738</v>
      </c>
      <c r="I9" s="81"/>
    </row>
    <row r="10">
      <c r="A10" s="6" t="s">
        <v>379</v>
      </c>
      <c r="B10" s="6">
        <v>15.0</v>
      </c>
      <c r="C10" s="6">
        <f t="shared" si="5"/>
        <v>15</v>
      </c>
      <c r="D10" s="4" t="s">
        <v>12</v>
      </c>
      <c r="E10" s="6">
        <f t="shared" si="2"/>
        <v>0</v>
      </c>
      <c r="F10" s="5">
        <f t="shared" si="3"/>
        <v>0</v>
      </c>
      <c r="G10" s="5">
        <f>('пф Сырный дип'!G13/'пф Сырный дип'!I13)*B10</f>
        <v>9.873533333</v>
      </c>
      <c r="H10" s="59">
        <f t="shared" si="6"/>
        <v>0.09940185528</v>
      </c>
      <c r="I10" s="81"/>
    </row>
    <row r="11">
      <c r="A11" s="6" t="s">
        <v>324</v>
      </c>
      <c r="B11" s="6">
        <v>20.0</v>
      </c>
      <c r="C11" s="6">
        <f t="shared" si="5"/>
        <v>20</v>
      </c>
      <c r="D11" s="4" t="s">
        <v>6</v>
      </c>
      <c r="E11" s="6">
        <f t="shared" si="2"/>
        <v>0</v>
      </c>
      <c r="F11" s="5">
        <f t="shared" si="3"/>
        <v>0</v>
      </c>
      <c r="G11" s="106">
        <f>('пф Фри'!G7/'пф Фри'!I7) * B11</f>
        <v>6.370546</v>
      </c>
      <c r="H11" s="59">
        <f t="shared" si="6"/>
        <v>0.06413550957</v>
      </c>
      <c r="I11" s="52"/>
    </row>
    <row r="12">
      <c r="A12" s="44" t="s">
        <v>227</v>
      </c>
      <c r="B12" s="4">
        <f t="shared" ref="B12:C12" si="7">SUM(B4:B11)</f>
        <v>362</v>
      </c>
      <c r="C12" s="4">
        <f t="shared" si="7"/>
        <v>332</v>
      </c>
      <c r="D12" s="82" t="s">
        <v>275</v>
      </c>
      <c r="E12" s="6">
        <f t="shared" si="2"/>
        <v>30</v>
      </c>
      <c r="F12" s="82" t="s">
        <v>275</v>
      </c>
      <c r="G12" s="60">
        <f t="shared" ref="G12:H12" si="8">SUM(G4:G11)</f>
        <v>99.3294673</v>
      </c>
      <c r="H12" s="61">
        <f t="shared" si="8"/>
        <v>1</v>
      </c>
      <c r="I12" s="104">
        <f>B12-E12</f>
        <v>332</v>
      </c>
    </row>
    <row r="13">
      <c r="F13" s="41"/>
    </row>
    <row r="14">
      <c r="A14" s="63" t="s">
        <v>238</v>
      </c>
    </row>
    <row r="15">
      <c r="A15" s="65" t="s">
        <v>375</v>
      </c>
      <c r="J15" s="65"/>
      <c r="K15" s="65"/>
      <c r="L15" s="65"/>
      <c r="M15" s="65"/>
      <c r="N15" s="65"/>
      <c r="O15" s="65"/>
      <c r="P15" s="65"/>
      <c r="Q15" s="65"/>
      <c r="R15" s="65"/>
      <c r="S15" s="65"/>
    </row>
    <row r="16">
      <c r="A16" s="70"/>
      <c r="F16" s="41"/>
    </row>
    <row r="17">
      <c r="A17" s="67" t="s">
        <v>241</v>
      </c>
      <c r="B17" s="68"/>
      <c r="C17" s="68"/>
      <c r="D17" s="68"/>
      <c r="E17" s="68"/>
      <c r="F17" s="68"/>
      <c r="G17" s="68"/>
      <c r="H17" s="68"/>
      <c r="I17" s="68"/>
      <c r="J17" s="68"/>
      <c r="K17" s="68"/>
      <c r="L17" s="69"/>
    </row>
    <row r="18">
      <c r="B18" s="15" t="s">
        <v>223</v>
      </c>
      <c r="C18" s="15" t="s">
        <v>242</v>
      </c>
      <c r="F18" s="41"/>
    </row>
    <row r="19">
      <c r="A19" s="70" t="s">
        <v>277</v>
      </c>
      <c r="B19" s="71">
        <f>C19/C22</f>
        <v>0.9477156957</v>
      </c>
      <c r="C19" s="39">
        <f>G12</f>
        <v>99.3294673</v>
      </c>
      <c r="E19" s="72" t="s">
        <v>244</v>
      </c>
      <c r="F19" s="6">
        <v>25.0</v>
      </c>
      <c r="G19" s="6">
        <v>26.0</v>
      </c>
      <c r="H19" s="6">
        <v>27.0</v>
      </c>
      <c r="I19" s="6">
        <v>27.75</v>
      </c>
      <c r="J19" s="6">
        <v>29.0</v>
      </c>
      <c r="K19" s="6">
        <v>30.0</v>
      </c>
      <c r="L19" s="6">
        <v>31.0</v>
      </c>
    </row>
    <row r="20">
      <c r="A20" s="70" t="s">
        <v>249</v>
      </c>
      <c r="B20" s="88">
        <v>0.03</v>
      </c>
      <c r="C20" s="40">
        <f>C19*B20</f>
        <v>2.979884019</v>
      </c>
      <c r="E20" s="72" t="s">
        <v>245</v>
      </c>
      <c r="F20" s="73">
        <f>C22*100/F19</f>
        <v>419.2374053</v>
      </c>
      <c r="G20" s="73">
        <f>C22*100/G19</f>
        <v>403.1128897</v>
      </c>
      <c r="H20" s="73">
        <f>C22*100/H19</f>
        <v>388.1827827</v>
      </c>
      <c r="I20" s="73">
        <f>C22*100/I19</f>
        <v>377.6913561</v>
      </c>
      <c r="J20" s="73">
        <f>C22*100/J19</f>
        <v>361.4115563</v>
      </c>
      <c r="K20" s="73">
        <f>C22*100/K19</f>
        <v>349.3645044</v>
      </c>
      <c r="L20" s="73">
        <f>C22*100/L19</f>
        <v>338.0946817</v>
      </c>
    </row>
    <row r="21">
      <c r="A21" s="70" t="s">
        <v>113</v>
      </c>
      <c r="B21" s="71">
        <f>C21/C22</f>
        <v>0.02385283344</v>
      </c>
      <c r="C21" s="15">
        <v>2.5</v>
      </c>
      <c r="F21" s="41"/>
    </row>
    <row r="22">
      <c r="A22" s="15" t="s">
        <v>278</v>
      </c>
      <c r="C22" s="39">
        <f>SUM(C19:C21)</f>
        <v>104.8093513</v>
      </c>
      <c r="F22" s="41"/>
    </row>
    <row r="23">
      <c r="F23" s="41"/>
    </row>
    <row r="24">
      <c r="A24" s="44" t="s">
        <v>256</v>
      </c>
      <c r="B24" s="46">
        <v>360.0</v>
      </c>
      <c r="F24" s="41"/>
    </row>
    <row r="25" ht="15.75" customHeight="1">
      <c r="A25" s="6" t="s">
        <v>257</v>
      </c>
      <c r="B25" s="59">
        <f>C22/B24</f>
        <v>0.291137087</v>
      </c>
      <c r="F25" s="41"/>
    </row>
    <row r="26" ht="15.75" customHeight="1">
      <c r="A26" s="6" t="s">
        <v>258</v>
      </c>
      <c r="B26" s="59">
        <f>C19/B24</f>
        <v>0.2759151869</v>
      </c>
      <c r="F26" s="41"/>
    </row>
    <row r="27" ht="15.75" customHeight="1">
      <c r="F27" s="41"/>
    </row>
    <row r="28" ht="15.75" customHeight="1">
      <c r="F28" s="41"/>
    </row>
    <row r="29" ht="15.75" customHeight="1">
      <c r="F29" s="41"/>
    </row>
    <row r="30" ht="15.75" customHeight="1">
      <c r="F30" s="41"/>
    </row>
    <row r="31" ht="15.75" customHeight="1">
      <c r="F31" s="41"/>
    </row>
    <row r="32" ht="15.75" customHeight="1">
      <c r="F32" s="41"/>
    </row>
    <row r="33" ht="15.75" customHeight="1">
      <c r="F33" s="41"/>
    </row>
    <row r="34" ht="15.75" customHeight="1">
      <c r="F34" s="41"/>
    </row>
    <row r="35" ht="15.75" customHeight="1">
      <c r="F35" s="41"/>
    </row>
    <row r="36" ht="15.75" customHeight="1">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row r="1003" ht="15.75" customHeight="1">
      <c r="F1003" s="41"/>
    </row>
    <row r="1004" ht="15.75" customHeight="1">
      <c r="F1004" s="41"/>
    </row>
  </sheetData>
  <autoFilter ref="$A$3:$H$11">
    <sortState ref="A3:H11">
      <sortCondition descending="1" ref="H3:H11"/>
    </sortState>
  </autoFilter>
  <mergeCells count="6">
    <mergeCell ref="A1:A2"/>
    <mergeCell ref="B1:I2"/>
    <mergeCell ref="I4:I11"/>
    <mergeCell ref="A14:I14"/>
    <mergeCell ref="A15:I15"/>
    <mergeCell ref="A17:L17"/>
  </mergeCells>
  <conditionalFormatting sqref="H4:H11">
    <cfRule type="colorScale" priority="1">
      <colorScale>
        <cfvo type="min"/>
        <cfvo type="max"/>
        <color rgb="FFFFFFFF"/>
        <color rgb="FFE67C73"/>
      </colorScale>
    </cfRule>
  </conditionalFormatting>
  <conditionalFormatting sqref="L1:R1 F19:L19">
    <cfRule type="colorScale" priority="2">
      <colorScale>
        <cfvo type="min"/>
        <cfvo type="percentile" val="50"/>
        <cfvo type="max"/>
        <color rgb="FF57BB8A"/>
        <color rgb="FFFFD666"/>
        <color rgb="FFE67C73"/>
      </colorScale>
    </cfRule>
  </conditionalFormatting>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4.43" defaultRowHeight="15.0"/>
  <cols>
    <col customWidth="1" min="1" max="1" width="57.57"/>
    <col customWidth="1" min="2" max="2" width="30.71"/>
  </cols>
  <sheetData>
    <row r="1">
      <c r="A1" s="48" t="s">
        <v>228</v>
      </c>
      <c r="B1" s="49" t="s">
        <v>380</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146</v>
      </c>
      <c r="B4" s="58">
        <v>10.0</v>
      </c>
      <c r="C4" s="58">
        <f t="shared" ref="C4:C5" si="1">B4</f>
        <v>10</v>
      </c>
      <c r="D4" s="6" t="s">
        <v>237</v>
      </c>
      <c r="E4" s="6">
        <f t="shared" ref="E4:E7" si="2">B4-C4</f>
        <v>0</v>
      </c>
      <c r="F4" s="5">
        <f t="shared" ref="F4:F7" si="3">E4/B4*100</f>
        <v>0</v>
      </c>
      <c r="G4" s="34">
        <f>VLOOKUP(A4,'Матрица поставщиков'!A1:E100,5,False) * B4</f>
        <v>13.04</v>
      </c>
      <c r="H4" s="59" t="str">
        <f>G4/G7</f>
        <v>#N/A</v>
      </c>
      <c r="I4" s="80"/>
    </row>
    <row r="5">
      <c r="A5" s="11" t="s">
        <v>40</v>
      </c>
      <c r="B5" s="58">
        <v>100.0</v>
      </c>
      <c r="C5" s="58">
        <f t="shared" si="1"/>
        <v>100</v>
      </c>
      <c r="D5" s="6" t="s">
        <v>237</v>
      </c>
      <c r="E5" s="6">
        <f t="shared" si="2"/>
        <v>0</v>
      </c>
      <c r="F5" s="5">
        <f t="shared" si="3"/>
        <v>0</v>
      </c>
      <c r="G5" s="34">
        <f>(VLOOKUP(A5,'Матрица поставщиков'!A1:E100,5,False) * B5)/10</f>
        <v>0</v>
      </c>
      <c r="H5" s="59" t="str">
        <f t="shared" ref="H5:H6" si="4">G5/$G$7</f>
        <v>#N/A</v>
      </c>
      <c r="I5" s="81"/>
    </row>
    <row r="6">
      <c r="A6" s="31" t="s">
        <v>381</v>
      </c>
      <c r="B6" s="58">
        <v>0.1</v>
      </c>
      <c r="C6" s="58">
        <v>0.1</v>
      </c>
      <c r="D6" s="6" t="s">
        <v>237</v>
      </c>
      <c r="E6" s="6">
        <f t="shared" si="2"/>
        <v>0</v>
      </c>
      <c r="F6" s="5">
        <f t="shared" si="3"/>
        <v>0</v>
      </c>
      <c r="G6" s="34" t="str">
        <f>(VLOOKUP(A6,'Матрица поставщиков'!A2:E100,5,False) * B6)/10</f>
        <v>#N/A</v>
      </c>
      <c r="H6" s="59" t="str">
        <f t="shared" si="4"/>
        <v>#N/A</v>
      </c>
      <c r="I6" s="52"/>
    </row>
    <row r="7">
      <c r="A7" s="44" t="s">
        <v>227</v>
      </c>
      <c r="B7" s="4">
        <f>B5</f>
        <v>100</v>
      </c>
      <c r="C7" s="4">
        <f>B7</f>
        <v>100</v>
      </c>
      <c r="D7" s="82" t="s">
        <v>275</v>
      </c>
      <c r="E7" s="6">
        <f t="shared" si="2"/>
        <v>0</v>
      </c>
      <c r="F7" s="5">
        <f t="shared" si="3"/>
        <v>0</v>
      </c>
      <c r="G7" s="60" t="str">
        <f>SUM(G4:G6)</f>
        <v>#N/A</v>
      </c>
      <c r="H7" s="61" t="str">
        <f>SUM(H4:H5)</f>
        <v>#N/A</v>
      </c>
      <c r="I7" s="62">
        <f>B7-E7</f>
        <v>100</v>
      </c>
    </row>
    <row r="9">
      <c r="A9" s="63" t="s">
        <v>238</v>
      </c>
    </row>
    <row r="10">
      <c r="A10" s="64" t="s">
        <v>283</v>
      </c>
      <c r="H10" s="65"/>
      <c r="I10" s="65"/>
    </row>
    <row r="11">
      <c r="B11" s="66" t="s">
        <v>208</v>
      </c>
      <c r="C11" s="66" t="s">
        <v>240</v>
      </c>
    </row>
    <row r="12">
      <c r="B12" s="17">
        <v>100.0</v>
      </c>
      <c r="C12" s="34" t="str">
        <f>G7/I7*B12</f>
        <v>#N/A</v>
      </c>
    </row>
    <row r="13">
      <c r="B13" s="17">
        <v>1.0</v>
      </c>
      <c r="C13" s="34" t="str">
        <f>G7/I7*B13</f>
        <v>#N/A</v>
      </c>
    </row>
    <row r="15">
      <c r="B15" s="67" t="s">
        <v>241</v>
      </c>
      <c r="C15" s="68"/>
      <c r="D15" s="68"/>
      <c r="E15" s="68"/>
      <c r="F15" s="68"/>
      <c r="G15" s="68"/>
      <c r="H15" s="68"/>
      <c r="I15" s="68"/>
      <c r="J15" s="68"/>
      <c r="K15" s="68"/>
      <c r="L15" s="68"/>
      <c r="M15" s="69"/>
    </row>
    <row r="16">
      <c r="C16" s="15" t="s">
        <v>223</v>
      </c>
      <c r="D16" s="15" t="s">
        <v>242</v>
      </c>
      <c r="E16" s="15" t="s">
        <v>243</v>
      </c>
      <c r="G16" s="41"/>
    </row>
    <row r="17">
      <c r="B17" s="70" t="s">
        <v>277</v>
      </c>
      <c r="C17" s="71" t="str">
        <f>D17/D20</f>
        <v>#N/A</v>
      </c>
      <c r="D17" s="39" t="str">
        <f>C12</f>
        <v>#N/A</v>
      </c>
      <c r="F17" s="72" t="s">
        <v>244</v>
      </c>
      <c r="G17" s="6">
        <v>10.0</v>
      </c>
      <c r="H17" s="6">
        <v>15.0</v>
      </c>
      <c r="I17" s="6">
        <v>20.0</v>
      </c>
    </row>
    <row r="18">
      <c r="B18" s="70" t="s">
        <v>249</v>
      </c>
      <c r="C18" s="88">
        <v>0.04</v>
      </c>
      <c r="D18" s="40" t="str">
        <f>D17*C18</f>
        <v>#N/A</v>
      </c>
      <c r="F18" s="72" t="s">
        <v>245</v>
      </c>
      <c r="G18" s="73" t="str">
        <f>D20*100/G17</f>
        <v>#N/A</v>
      </c>
      <c r="H18" s="73" t="str">
        <f>D20*100/H17</f>
        <v>#N/A</v>
      </c>
      <c r="I18" s="73" t="str">
        <f>D20*100/I17</f>
        <v>#N/A</v>
      </c>
    </row>
    <row r="19">
      <c r="B19" s="70" t="s">
        <v>113</v>
      </c>
      <c r="C19" s="71" t="str">
        <f>D19/D20</f>
        <v>#N/A</v>
      </c>
      <c r="D19" s="15">
        <v>4.0</v>
      </c>
      <c r="G19" s="41"/>
    </row>
    <row r="20">
      <c r="B20" s="15" t="s">
        <v>278</v>
      </c>
      <c r="D20" s="37" t="str">
        <f>SUM(D17:D19)</f>
        <v>#N/A</v>
      </c>
      <c r="G20" s="41"/>
    </row>
    <row r="21">
      <c r="G21" s="41"/>
    </row>
    <row r="22">
      <c r="B22" s="44" t="s">
        <v>256</v>
      </c>
      <c r="C22" s="46">
        <v>240.0</v>
      </c>
      <c r="G22" s="41"/>
    </row>
    <row r="23">
      <c r="B23" s="6" t="s">
        <v>257</v>
      </c>
      <c r="C23" s="59" t="str">
        <f>D20/C22</f>
        <v>#N/A</v>
      </c>
    </row>
    <row r="24">
      <c r="B24" s="6" t="s">
        <v>258</v>
      </c>
      <c r="C24" s="59" t="str">
        <f>D17/C22</f>
        <v>#N/A</v>
      </c>
    </row>
  </sheetData>
  <mergeCells count="6">
    <mergeCell ref="A1:A2"/>
    <mergeCell ref="B1:I2"/>
    <mergeCell ref="I4:I6"/>
    <mergeCell ref="A9:I9"/>
    <mergeCell ref="A10:G10"/>
    <mergeCell ref="B15:M15"/>
  </mergeCells>
  <conditionalFormatting sqref="G17:I17">
    <cfRule type="colorScale" priority="1">
      <colorScale>
        <cfvo type="min"/>
        <cfvo type="percentile" val="50"/>
        <cfvo type="max"/>
        <color rgb="FF57BB8A"/>
        <color rgb="FFFFD666"/>
        <color rgb="FFE67C73"/>
      </colorScale>
    </cfRule>
  </conditionalFormatting>
  <conditionalFormatting sqref="H4:H6">
    <cfRule type="colorScale" priority="2">
      <colorScale>
        <cfvo type="min"/>
        <cfvo type="max"/>
        <color rgb="FFFFFFFF"/>
        <color rgb="FFE67C73"/>
      </colorScale>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4.43" defaultRowHeight="15.0"/>
  <cols>
    <col customWidth="1" min="1" max="1" width="57.57"/>
    <col customWidth="1" min="2" max="2" width="28.57"/>
  </cols>
  <sheetData>
    <row r="1">
      <c r="A1" s="48" t="s">
        <v>228</v>
      </c>
      <c r="B1" s="49" t="s">
        <v>382</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148</v>
      </c>
      <c r="B4" s="58">
        <v>10.0</v>
      </c>
      <c r="C4" s="58">
        <f>B4</f>
        <v>10</v>
      </c>
      <c r="D4" s="6" t="s">
        <v>237</v>
      </c>
      <c r="E4" s="6">
        <f t="shared" ref="E4:E6" si="1">B4-C4</f>
        <v>0</v>
      </c>
      <c r="F4" s="5">
        <f t="shared" ref="F4:F6" si="2">E4/B4*100</f>
        <v>0</v>
      </c>
      <c r="G4" s="34">
        <f>VLOOKUP(A4,'Матрица поставщиков'!A1:E60,5,False) * B4</f>
        <v>40</v>
      </c>
      <c r="H4" s="59">
        <f>G4/G6</f>
        <v>1</v>
      </c>
      <c r="I4" s="80"/>
    </row>
    <row r="5">
      <c r="A5" s="11" t="s">
        <v>40</v>
      </c>
      <c r="B5" s="58">
        <v>100.0</v>
      </c>
      <c r="C5" s="58">
        <v>100.0</v>
      </c>
      <c r="D5" s="6" t="s">
        <v>237</v>
      </c>
      <c r="E5" s="6">
        <f t="shared" si="1"/>
        <v>0</v>
      </c>
      <c r="F5" s="5">
        <f t="shared" si="2"/>
        <v>0</v>
      </c>
      <c r="G5" s="34">
        <f>(VLOOKUP(A5,'Матрица поставщиков'!A1:E53,5,False) * B5)/10</f>
        <v>0</v>
      </c>
      <c r="H5" s="59">
        <f>G5/G6</f>
        <v>0</v>
      </c>
      <c r="I5" s="52"/>
    </row>
    <row r="6">
      <c r="A6" s="44" t="s">
        <v>227</v>
      </c>
      <c r="B6" s="4">
        <f>sum(B4:B5)</f>
        <v>110</v>
      </c>
      <c r="C6" s="4">
        <f>B6</f>
        <v>110</v>
      </c>
      <c r="D6" s="82" t="s">
        <v>275</v>
      </c>
      <c r="E6" s="6">
        <f t="shared" si="1"/>
        <v>0</v>
      </c>
      <c r="F6" s="5">
        <f t="shared" si="2"/>
        <v>0</v>
      </c>
      <c r="G6" s="60">
        <f t="shared" ref="G6:H6" si="3">SUM(G4:G5)</f>
        <v>40</v>
      </c>
      <c r="H6" s="61">
        <f t="shared" si="3"/>
        <v>1</v>
      </c>
      <c r="I6" s="62">
        <f>B6-E6</f>
        <v>110</v>
      </c>
    </row>
    <row r="8">
      <c r="A8" s="63" t="s">
        <v>238</v>
      </c>
    </row>
    <row r="9">
      <c r="A9" s="64" t="s">
        <v>283</v>
      </c>
      <c r="H9" s="65"/>
      <c r="I9" s="65"/>
    </row>
    <row r="10">
      <c r="B10" s="66" t="s">
        <v>208</v>
      </c>
      <c r="C10" s="66" t="s">
        <v>240</v>
      </c>
    </row>
    <row r="11">
      <c r="B11" s="17">
        <v>110.0</v>
      </c>
      <c r="C11" s="34">
        <f>G6/I6*B11</f>
        <v>40</v>
      </c>
    </row>
    <row r="12">
      <c r="B12" s="17">
        <v>1.0</v>
      </c>
      <c r="C12" s="34">
        <f>G6/I6*B12</f>
        <v>0.3636363636</v>
      </c>
    </row>
    <row r="14">
      <c r="B14" s="67" t="s">
        <v>241</v>
      </c>
      <c r="C14" s="68"/>
      <c r="D14" s="68"/>
      <c r="E14" s="68"/>
      <c r="F14" s="68"/>
      <c r="G14" s="68"/>
      <c r="H14" s="68"/>
      <c r="I14" s="68"/>
      <c r="J14" s="68"/>
      <c r="K14" s="68"/>
      <c r="L14" s="68"/>
      <c r="M14" s="69"/>
    </row>
    <row r="15">
      <c r="C15" s="15" t="s">
        <v>223</v>
      </c>
      <c r="D15" s="15" t="s">
        <v>242</v>
      </c>
      <c r="E15" s="15" t="s">
        <v>243</v>
      </c>
      <c r="G15" s="41"/>
    </row>
    <row r="16">
      <c r="B16" s="70" t="s">
        <v>277</v>
      </c>
      <c r="C16" s="71">
        <f>D16/D19</f>
        <v>0.8771929825</v>
      </c>
      <c r="D16" s="39">
        <f>C11</f>
        <v>40</v>
      </c>
      <c r="F16" s="72" t="s">
        <v>244</v>
      </c>
      <c r="G16" s="6">
        <v>5.0</v>
      </c>
      <c r="H16" s="6">
        <v>7.0</v>
      </c>
      <c r="I16" s="6">
        <v>9.0</v>
      </c>
    </row>
    <row r="17">
      <c r="B17" s="70" t="s">
        <v>249</v>
      </c>
      <c r="C17" s="88">
        <v>0.04</v>
      </c>
      <c r="D17" s="40">
        <f>D16*C17</f>
        <v>1.6</v>
      </c>
      <c r="F17" s="72" t="s">
        <v>245</v>
      </c>
      <c r="G17" s="73">
        <f>D19*100/G16</f>
        <v>912</v>
      </c>
      <c r="H17" s="73">
        <f>D19*100/H16</f>
        <v>651.4285714</v>
      </c>
      <c r="I17" s="73">
        <f>D19*100/I16</f>
        <v>506.6666667</v>
      </c>
    </row>
    <row r="18">
      <c r="B18" s="70" t="s">
        <v>113</v>
      </c>
      <c r="C18" s="71">
        <f>D18/D19</f>
        <v>0.08771929825</v>
      </c>
      <c r="D18" s="15">
        <v>4.0</v>
      </c>
      <c r="G18" s="41"/>
    </row>
    <row r="19">
      <c r="B19" s="15" t="s">
        <v>278</v>
      </c>
      <c r="D19" s="39">
        <f>SUM(D16:D18)</f>
        <v>45.6</v>
      </c>
      <c r="G19" s="41"/>
    </row>
    <row r="20">
      <c r="G20" s="41"/>
    </row>
    <row r="21">
      <c r="B21" s="44" t="s">
        <v>256</v>
      </c>
      <c r="C21" s="46">
        <v>350.0</v>
      </c>
      <c r="G21" s="41"/>
    </row>
    <row r="22">
      <c r="B22" s="6" t="s">
        <v>257</v>
      </c>
      <c r="C22" s="59">
        <f>D19/C21</f>
        <v>0.1302857143</v>
      </c>
    </row>
    <row r="23">
      <c r="B23" s="6" t="s">
        <v>258</v>
      </c>
      <c r="C23" s="59">
        <f>D16/C21</f>
        <v>0.1142857143</v>
      </c>
    </row>
  </sheetData>
  <mergeCells count="6">
    <mergeCell ref="A1:A2"/>
    <mergeCell ref="B1:I2"/>
    <mergeCell ref="I4:I5"/>
    <mergeCell ref="A8:I8"/>
    <mergeCell ref="A9:G9"/>
    <mergeCell ref="B14:M14"/>
  </mergeCells>
  <conditionalFormatting sqref="G16:I16">
    <cfRule type="colorScale" priority="1">
      <colorScale>
        <cfvo type="min"/>
        <cfvo type="percentile" val="50"/>
        <cfvo type="max"/>
        <color rgb="FF57BB8A"/>
        <color rgb="FFFFD666"/>
        <color rgb="FFE67C73"/>
      </colorScale>
    </cfRule>
  </conditionalFormatting>
  <conditionalFormatting sqref="H4:H5">
    <cfRule type="colorScale" priority="2">
      <colorScale>
        <cfvo type="min"/>
        <cfvo type="max"/>
        <color rgb="FFFFFFFF"/>
        <color rgb="FFE67C73"/>
      </colorScale>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32.14"/>
    <col customWidth="1" min="2" max="2" width="23.57"/>
    <col customWidth="1" min="3" max="3" width="9.71"/>
    <col customWidth="1" min="4" max="4" width="11.0"/>
    <col customWidth="1" min="5" max="5" width="17.14"/>
    <col customWidth="1" min="6" max="6" width="13.86"/>
    <col customWidth="1" min="7" max="7" width="11.0"/>
    <col customWidth="1" min="8" max="8" width="8.71"/>
    <col customWidth="1" min="9" max="9" width="12.14"/>
    <col customWidth="1" min="10" max="10" width="8.71"/>
    <col customWidth="1" min="11" max="11" width="8.0"/>
    <col customWidth="1" min="12" max="12" width="4.29"/>
    <col customWidth="1" min="13" max="16" width="5.43"/>
    <col customWidth="1" min="17" max="29" width="8.71"/>
  </cols>
  <sheetData>
    <row r="1">
      <c r="A1" s="101" t="s">
        <v>228</v>
      </c>
      <c r="B1" s="49" t="s">
        <v>383</v>
      </c>
      <c r="C1" s="50"/>
      <c r="D1" s="50"/>
      <c r="E1" s="50"/>
      <c r="F1" s="50"/>
      <c r="G1" s="50"/>
      <c r="H1" s="50"/>
      <c r="I1" s="51"/>
      <c r="K1" s="72" t="s">
        <v>244</v>
      </c>
      <c r="L1" s="6">
        <v>25.0</v>
      </c>
      <c r="M1" s="6">
        <v>26.0</v>
      </c>
      <c r="N1" s="6">
        <v>27.0</v>
      </c>
      <c r="O1" s="6">
        <v>28.0</v>
      </c>
      <c r="P1" s="6">
        <v>29.0</v>
      </c>
      <c r="Q1" s="6">
        <v>30.0</v>
      </c>
      <c r="R1" s="6">
        <v>31.0</v>
      </c>
    </row>
    <row r="2">
      <c r="A2" s="52"/>
      <c r="B2" s="53"/>
      <c r="C2" s="54"/>
      <c r="D2" s="54"/>
      <c r="E2" s="54"/>
      <c r="F2" s="54"/>
      <c r="G2" s="54"/>
      <c r="H2" s="54"/>
      <c r="I2" s="55"/>
      <c r="K2" s="72" t="s">
        <v>245</v>
      </c>
      <c r="L2" s="73">
        <f>G11*100/L1</f>
        <v>657.7285797</v>
      </c>
      <c r="M2" s="73">
        <f>G11*100/M1</f>
        <v>632.4313266</v>
      </c>
      <c r="N2" s="73">
        <f>G11*100/N1</f>
        <v>609.0079441</v>
      </c>
      <c r="O2" s="73">
        <f>G11*100/O1</f>
        <v>587.2576604</v>
      </c>
      <c r="P2" s="73">
        <f>G11*100/P1</f>
        <v>567.0073963</v>
      </c>
      <c r="Q2" s="73">
        <f>G11*100/Q1</f>
        <v>548.1071497</v>
      </c>
      <c r="R2" s="73">
        <f>G11*100/R1</f>
        <v>530.4262739</v>
      </c>
    </row>
    <row r="3">
      <c r="A3" s="56" t="s">
        <v>0</v>
      </c>
      <c r="B3" s="56" t="s">
        <v>230</v>
      </c>
      <c r="C3" s="56" t="s">
        <v>231</v>
      </c>
      <c r="D3" s="56" t="s">
        <v>1</v>
      </c>
      <c r="E3" s="57" t="s">
        <v>296</v>
      </c>
      <c r="F3" s="102" t="s">
        <v>233</v>
      </c>
      <c r="G3" s="57" t="s">
        <v>234</v>
      </c>
      <c r="H3" s="57" t="s">
        <v>235</v>
      </c>
      <c r="I3" s="57" t="s">
        <v>236</v>
      </c>
    </row>
    <row r="4">
      <c r="A4" s="6" t="s">
        <v>378</v>
      </c>
      <c r="B4" s="6">
        <v>120.0</v>
      </c>
      <c r="C4" s="6">
        <f t="shared" ref="C4:C6" si="1">B4</f>
        <v>120</v>
      </c>
      <c r="D4" s="4" t="s">
        <v>6</v>
      </c>
      <c r="E4" s="6">
        <f t="shared" ref="E4:E11" si="2">B4-C4</f>
        <v>0</v>
      </c>
      <c r="F4" s="5">
        <f t="shared" ref="F4:F10" si="3">E4/B4*100</f>
        <v>0</v>
      </c>
      <c r="G4" s="106">
        <f>'пф курица готовая'!G6/'пф курица готовая'!I6*B4</f>
        <v>61.70262099</v>
      </c>
      <c r="H4" s="59">
        <f t="shared" ref="H4:H5" si="4">G4/$G$11</f>
        <v>0.3752467075</v>
      </c>
      <c r="I4" s="103"/>
    </row>
    <row r="5">
      <c r="A5" s="6" t="s">
        <v>331</v>
      </c>
      <c r="B5" s="6">
        <f>'пф Лаваш Искенди'!B5*2</f>
        <v>240</v>
      </c>
      <c r="C5" s="6">
        <f t="shared" si="1"/>
        <v>240</v>
      </c>
      <c r="D5" s="6" t="s">
        <v>26</v>
      </c>
      <c r="E5" s="6">
        <f t="shared" si="2"/>
        <v>0</v>
      </c>
      <c r="F5" s="5">
        <f t="shared" si="3"/>
        <v>0</v>
      </c>
      <c r="G5" s="106">
        <f>'пф Лаваш Искенди'!G6*2</f>
        <v>37.67888</v>
      </c>
      <c r="H5" s="59">
        <f t="shared" si="4"/>
        <v>0.2291454631</v>
      </c>
      <c r="I5" s="81"/>
    </row>
    <row r="6">
      <c r="A6" s="6" t="s">
        <v>104</v>
      </c>
      <c r="B6" s="6">
        <v>60.0</v>
      </c>
      <c r="C6" s="6">
        <f t="shared" si="1"/>
        <v>60</v>
      </c>
      <c r="D6" s="4" t="s">
        <v>6</v>
      </c>
      <c r="E6" s="6">
        <f t="shared" si="2"/>
        <v>0</v>
      </c>
      <c r="F6" s="5">
        <f t="shared" si="3"/>
        <v>0</v>
      </c>
      <c r="G6" s="5">
        <f>VLOOKUP(A6,'Матрица поставщиков'!A1:E53,5,0) * B6</f>
        <v>21</v>
      </c>
      <c r="H6" s="59">
        <f>G6/G11</f>
        <v>0.1277122549</v>
      </c>
      <c r="I6" s="81"/>
    </row>
    <row r="7" ht="15.75" customHeight="1">
      <c r="A7" s="6" t="s">
        <v>341</v>
      </c>
      <c r="B7" s="6">
        <v>190.0</v>
      </c>
      <c r="C7" s="6">
        <v>160.0</v>
      </c>
      <c r="D7" s="4" t="s">
        <v>12</v>
      </c>
      <c r="E7" s="6">
        <f t="shared" si="2"/>
        <v>30</v>
      </c>
      <c r="F7" s="5">
        <f t="shared" si="3"/>
        <v>15.78947368</v>
      </c>
      <c r="G7" s="5">
        <f>('пф искандер соус'!G11/'пф искандер соус'!I11)*B7</f>
        <v>6.87078</v>
      </c>
      <c r="H7" s="59">
        <f t="shared" ref="H7:H10" si="5">G7/$G$11</f>
        <v>0.04178489555</v>
      </c>
      <c r="I7" s="81"/>
    </row>
    <row r="8">
      <c r="A8" s="6" t="s">
        <v>24</v>
      </c>
      <c r="B8" s="6">
        <v>55.0</v>
      </c>
      <c r="C8" s="6">
        <f t="shared" ref="C8:C9" si="6">B8</f>
        <v>55</v>
      </c>
      <c r="D8" s="4" t="s">
        <v>6</v>
      </c>
      <c r="E8" s="6">
        <f t="shared" si="2"/>
        <v>0</v>
      </c>
      <c r="F8" s="5">
        <f t="shared" si="3"/>
        <v>0</v>
      </c>
      <c r="G8" s="5">
        <f>VLOOKUP(A8,'Матрица поставщиков'!A1:E57,5,0) * B8</f>
        <v>20.05666667</v>
      </c>
      <c r="H8" s="59">
        <f t="shared" si="5"/>
        <v>0.1219753393</v>
      </c>
      <c r="I8" s="81"/>
    </row>
    <row r="9">
      <c r="A9" s="6" t="s">
        <v>127</v>
      </c>
      <c r="B9" s="6">
        <v>46.0</v>
      </c>
      <c r="C9" s="6">
        <f t="shared" si="6"/>
        <v>46</v>
      </c>
      <c r="D9" s="4" t="s">
        <v>12</v>
      </c>
      <c r="E9" s="6">
        <f t="shared" si="2"/>
        <v>0</v>
      </c>
      <c r="F9" s="5">
        <f t="shared" si="3"/>
        <v>0</v>
      </c>
      <c r="G9" s="5">
        <f>VLOOKUP(A9,'Матрица поставщиков'!A1:E53,5,0) * B9</f>
        <v>4.382105263</v>
      </c>
      <c r="H9" s="59">
        <f t="shared" si="5"/>
        <v>0.02664993068</v>
      </c>
      <c r="I9" s="81"/>
    </row>
    <row r="10">
      <c r="A10" s="6" t="s">
        <v>324</v>
      </c>
      <c r="B10" s="6">
        <v>40.0</v>
      </c>
      <c r="C10" s="6">
        <v>40.0</v>
      </c>
      <c r="D10" s="4" t="s">
        <v>6</v>
      </c>
      <c r="E10" s="6">
        <f t="shared" si="2"/>
        <v>0</v>
      </c>
      <c r="F10" s="5">
        <f t="shared" si="3"/>
        <v>0</v>
      </c>
      <c r="G10" s="106">
        <f>('пф Фри'!G7/'пф Фри'!I7) * B10</f>
        <v>12.741092</v>
      </c>
      <c r="H10" s="59">
        <f t="shared" si="5"/>
        <v>0.07748540899</v>
      </c>
      <c r="I10" s="52"/>
    </row>
    <row r="11">
      <c r="A11" s="44" t="s">
        <v>227</v>
      </c>
      <c r="B11" s="4">
        <f t="shared" ref="B11:C11" si="7">SUM(B4:B10)</f>
        <v>751</v>
      </c>
      <c r="C11" s="4">
        <f t="shared" si="7"/>
        <v>721</v>
      </c>
      <c r="D11" s="82" t="s">
        <v>275</v>
      </c>
      <c r="E11" s="6">
        <f t="shared" si="2"/>
        <v>30</v>
      </c>
      <c r="F11" s="82" t="s">
        <v>275</v>
      </c>
      <c r="G11" s="60">
        <f t="shared" ref="G11:H11" si="8">SUM(G4:G10)</f>
        <v>164.4321449</v>
      </c>
      <c r="H11" s="61">
        <f t="shared" si="8"/>
        <v>1</v>
      </c>
      <c r="I11" s="104">
        <f>C11</f>
        <v>721</v>
      </c>
    </row>
    <row r="12">
      <c r="F12" s="41"/>
    </row>
    <row r="13">
      <c r="A13" s="63" t="s">
        <v>238</v>
      </c>
    </row>
    <row r="14">
      <c r="A14" s="65" t="s">
        <v>384</v>
      </c>
      <c r="J14" s="65"/>
      <c r="K14" s="65"/>
      <c r="L14" s="65"/>
      <c r="M14" s="65"/>
      <c r="N14" s="65"/>
      <c r="O14" s="65"/>
      <c r="P14" s="65"/>
      <c r="Q14" s="65"/>
      <c r="R14" s="65"/>
      <c r="S14" s="65"/>
    </row>
    <row r="15">
      <c r="A15" s="70"/>
      <c r="F15" s="41"/>
    </row>
    <row r="16">
      <c r="A16" s="70" t="s">
        <v>241</v>
      </c>
      <c r="F16" s="41"/>
    </row>
    <row r="17">
      <c r="B17" s="15" t="s">
        <v>223</v>
      </c>
      <c r="C17" s="15" t="s">
        <v>242</v>
      </c>
      <c r="F17" s="41"/>
    </row>
    <row r="18">
      <c r="A18" s="70" t="s">
        <v>277</v>
      </c>
      <c r="B18" s="71">
        <f>C18/C25</f>
        <v>0.954838212</v>
      </c>
      <c r="C18" s="39">
        <f>G11</f>
        <v>164.4321449</v>
      </c>
      <c r="E18" s="72" t="s">
        <v>244</v>
      </c>
      <c r="F18" s="6">
        <v>25.0</v>
      </c>
      <c r="G18" s="6">
        <v>26.0</v>
      </c>
      <c r="H18" s="6">
        <v>27.0</v>
      </c>
      <c r="I18" s="6">
        <v>27.75</v>
      </c>
      <c r="J18" s="6">
        <v>29.0</v>
      </c>
      <c r="K18" s="6">
        <v>30.0</v>
      </c>
      <c r="L18" s="6">
        <v>31.0</v>
      </c>
    </row>
    <row r="19">
      <c r="A19" s="70" t="s">
        <v>249</v>
      </c>
      <c r="B19" s="88">
        <v>0.04</v>
      </c>
      <c r="C19" s="40">
        <f>C18*B19</f>
        <v>6.577285797</v>
      </c>
      <c r="E19" s="72" t="s">
        <v>245</v>
      </c>
      <c r="F19" s="73">
        <f>C25*100/F18</f>
        <v>688.8377229</v>
      </c>
      <c r="G19" s="73">
        <f>C25*100/G18</f>
        <v>662.3439643</v>
      </c>
      <c r="H19" s="73">
        <f>C25*100/H18</f>
        <v>637.8127064</v>
      </c>
      <c r="I19" s="73">
        <f>C25*100/I18</f>
        <v>620.5745251</v>
      </c>
      <c r="J19" s="73">
        <f>C25*100/J18</f>
        <v>593.8256232</v>
      </c>
      <c r="K19" s="73">
        <f>C25*100/K18</f>
        <v>574.0314357</v>
      </c>
      <c r="L19" s="73">
        <f>C25*100/L18</f>
        <v>555.5142926</v>
      </c>
    </row>
    <row r="20">
      <c r="A20" s="6" t="s">
        <v>250</v>
      </c>
      <c r="B20" s="84">
        <f>C20/C25</f>
        <v>0.006968259491</v>
      </c>
      <c r="C20" s="93">
        <v>1.2</v>
      </c>
      <c r="F20" s="41"/>
    </row>
    <row r="21">
      <c r="A21" s="6" t="s">
        <v>251</v>
      </c>
      <c r="B21" s="84">
        <f>C21/C25</f>
        <v>0.001974340189</v>
      </c>
      <c r="C21" s="93">
        <v>0.34</v>
      </c>
      <c r="F21" s="41"/>
    </row>
    <row r="22">
      <c r="A22" s="6" t="s">
        <v>252</v>
      </c>
      <c r="B22" s="84">
        <f>C22/C25</f>
        <v>0.01161376582</v>
      </c>
      <c r="C22" s="93">
        <v>2.0</v>
      </c>
      <c r="F22" s="41"/>
    </row>
    <row r="23">
      <c r="A23" s="6" t="s">
        <v>253</v>
      </c>
      <c r="B23" s="84">
        <f>C23/C25</f>
        <v>0.01451720727</v>
      </c>
      <c r="C23" s="93">
        <v>2.5</v>
      </c>
      <c r="G23" s="94" t="s">
        <v>246</v>
      </c>
      <c r="H23" s="94" t="s">
        <v>247</v>
      </c>
      <c r="I23" s="94" t="s">
        <v>248</v>
      </c>
    </row>
    <row r="24" ht="15.75" customHeight="1">
      <c r="A24" s="6" t="s">
        <v>346</v>
      </c>
      <c r="B24" s="84">
        <f>C24/C25</f>
        <v>0.05051988131</v>
      </c>
      <c r="C24" s="6">
        <v>8.7</v>
      </c>
      <c r="F24" s="6" t="s">
        <v>249</v>
      </c>
      <c r="G24" s="95">
        <v>2.0</v>
      </c>
      <c r="H24" s="96">
        <v>2.0</v>
      </c>
      <c r="I24" s="96">
        <v>2.0</v>
      </c>
    </row>
    <row r="25" ht="15.75" customHeight="1">
      <c r="A25" s="15" t="s">
        <v>278</v>
      </c>
      <c r="C25" s="39">
        <f>SUM(C18:C20)</f>
        <v>172.2094307</v>
      </c>
      <c r="F25" s="6" t="s">
        <v>250</v>
      </c>
      <c r="G25" s="75">
        <v>1.2</v>
      </c>
      <c r="H25" s="97">
        <v>1.2</v>
      </c>
      <c r="I25" s="97">
        <v>1.2</v>
      </c>
    </row>
    <row r="26" ht="15.75" customHeight="1">
      <c r="F26" s="6" t="s">
        <v>251</v>
      </c>
      <c r="G26" s="75">
        <v>0.34</v>
      </c>
      <c r="H26" s="97">
        <v>0.34</v>
      </c>
      <c r="I26" s="97">
        <v>0.34</v>
      </c>
    </row>
    <row r="27" ht="15.75" customHeight="1">
      <c r="F27" s="6" t="s">
        <v>252</v>
      </c>
      <c r="G27" s="95">
        <v>0.0</v>
      </c>
      <c r="H27" s="96">
        <v>2.0</v>
      </c>
      <c r="I27" s="96">
        <v>2.0</v>
      </c>
    </row>
    <row r="28" ht="15.75" customHeight="1">
      <c r="F28" s="6" t="s">
        <v>253</v>
      </c>
      <c r="G28" s="75">
        <v>0.0</v>
      </c>
      <c r="H28" s="97">
        <v>2.5</v>
      </c>
      <c r="I28" s="97">
        <v>2.5</v>
      </c>
    </row>
    <row r="29" ht="15.75" customHeight="1">
      <c r="F29" s="6"/>
      <c r="G29" s="95"/>
      <c r="H29" s="96"/>
      <c r="I29" s="96"/>
    </row>
    <row r="30" ht="15.75" customHeight="1">
      <c r="A30" s="44" t="s">
        <v>256</v>
      </c>
      <c r="B30" s="121">
        <f>B35</f>
        <v>800</v>
      </c>
      <c r="F30" s="6" t="s">
        <v>346</v>
      </c>
      <c r="G30" s="95">
        <v>5.75</v>
      </c>
      <c r="H30" s="96">
        <v>8.625</v>
      </c>
      <c r="I30" s="96">
        <v>8.625</v>
      </c>
    </row>
    <row r="31" ht="15.75" customHeight="1">
      <c r="A31" s="6" t="s">
        <v>257</v>
      </c>
      <c r="B31" s="59">
        <f>I35/B30</f>
        <v>0.2263714311</v>
      </c>
      <c r="F31" s="15" t="s">
        <v>254</v>
      </c>
      <c r="G31" s="95">
        <v>2.26</v>
      </c>
      <c r="H31" s="99">
        <v>2.26</v>
      </c>
      <c r="I31" s="99">
        <v>0.0</v>
      </c>
    </row>
    <row r="32" ht="15.75" customHeight="1">
      <c r="A32" s="6" t="s">
        <v>258</v>
      </c>
      <c r="B32" s="59">
        <f>G11/B30</f>
        <v>0.2055401811</v>
      </c>
      <c r="F32" s="15" t="s">
        <v>360</v>
      </c>
      <c r="G32" s="95">
        <v>8.8</v>
      </c>
      <c r="H32" s="95">
        <v>8.8</v>
      </c>
      <c r="I32" s="95">
        <v>0.0</v>
      </c>
    </row>
    <row r="33" ht="15.75" customHeight="1">
      <c r="D33" s="40">
        <f>B30+I33</f>
        <v>816.665</v>
      </c>
      <c r="F33" s="15" t="s">
        <v>227</v>
      </c>
      <c r="G33" s="100">
        <f t="shared" ref="G33:I33" si="9">SUM(G24:G32)</f>
        <v>20.35</v>
      </c>
      <c r="H33" s="100">
        <f t="shared" si="9"/>
        <v>27.725</v>
      </c>
      <c r="I33" s="100">
        <f t="shared" si="9"/>
        <v>16.665</v>
      </c>
    </row>
    <row r="34" ht="15.75" customHeight="1">
      <c r="G34" s="100"/>
      <c r="H34" s="100"/>
      <c r="I34" s="100"/>
    </row>
    <row r="35" ht="15.75" customHeight="1">
      <c r="A35" s="15" t="s">
        <v>204</v>
      </c>
      <c r="B35" s="78">
        <v>800.0</v>
      </c>
      <c r="F35" s="6" t="s">
        <v>385</v>
      </c>
      <c r="G35" s="127"/>
      <c r="H35" s="127"/>
      <c r="I35" s="127">
        <f>G11+I33</f>
        <v>181.0971449</v>
      </c>
    </row>
    <row r="36" ht="15.75" customHeight="1">
      <c r="A36" s="15" t="s">
        <v>248</v>
      </c>
      <c r="B36" s="10">
        <v>1150.0</v>
      </c>
      <c r="F36" s="41"/>
    </row>
    <row r="37" ht="15.75" customHeight="1">
      <c r="F37" s="41"/>
    </row>
    <row r="38" ht="15.75" customHeight="1">
      <c r="F38" s="41"/>
    </row>
    <row r="39" ht="15.75" customHeight="1">
      <c r="F39" s="41"/>
    </row>
    <row r="40" ht="15.75" customHeight="1">
      <c r="F40" s="41"/>
    </row>
    <row r="41" ht="15.75" customHeight="1">
      <c r="F41" s="41"/>
    </row>
    <row r="42" ht="15.75" customHeight="1">
      <c r="F42" s="41"/>
    </row>
    <row r="43" ht="15.75" customHeight="1">
      <c r="F43" s="41"/>
    </row>
    <row r="44" ht="15.75" customHeight="1">
      <c r="F44" s="41"/>
    </row>
    <row r="45" ht="15.75" customHeight="1">
      <c r="F45" s="41"/>
    </row>
    <row r="46" ht="15.75" customHeight="1">
      <c r="F46" s="41"/>
    </row>
    <row r="47" ht="15.75" customHeight="1">
      <c r="F47" s="41"/>
    </row>
    <row r="48" ht="15.75" customHeight="1">
      <c r="F48" s="41"/>
    </row>
    <row r="49" ht="15.75" customHeight="1">
      <c r="F49" s="41"/>
    </row>
    <row r="50" ht="15.75" customHeight="1">
      <c r="F50" s="41"/>
    </row>
    <row r="51" ht="15.75" customHeight="1">
      <c r="F51" s="41"/>
    </row>
    <row r="52" ht="15.75" customHeight="1">
      <c r="F52" s="41"/>
    </row>
    <row r="53" ht="15.75" customHeight="1">
      <c r="F53" s="41"/>
    </row>
    <row r="54" ht="15.75" customHeight="1">
      <c r="F54" s="41"/>
    </row>
    <row r="55" ht="15.75" customHeight="1">
      <c r="F55" s="41"/>
    </row>
    <row r="56" ht="15.75" customHeight="1">
      <c r="F56" s="41"/>
    </row>
    <row r="57" ht="15.75" customHeight="1">
      <c r="F57" s="41"/>
    </row>
    <row r="58" ht="15.75" customHeight="1">
      <c r="F58" s="41"/>
    </row>
    <row r="59" ht="15.75" customHeight="1">
      <c r="F59" s="41"/>
    </row>
    <row r="60" ht="15.75" customHeight="1">
      <c r="F60" s="41"/>
    </row>
    <row r="61" ht="15.75" customHeight="1">
      <c r="F61" s="41"/>
    </row>
    <row r="62" ht="15.75" customHeight="1">
      <c r="F62" s="41"/>
    </row>
    <row r="63" ht="15.75" customHeight="1">
      <c r="F63" s="41"/>
    </row>
    <row r="64" ht="15.75" customHeight="1">
      <c r="F64" s="41"/>
    </row>
    <row r="65" ht="15.75" customHeight="1">
      <c r="F65" s="41"/>
    </row>
    <row r="66" ht="15.75" customHeight="1">
      <c r="F66" s="41"/>
    </row>
    <row r="67" ht="15.75" customHeight="1">
      <c r="F67" s="41"/>
    </row>
    <row r="68" ht="15.75" customHeight="1">
      <c r="F68" s="41"/>
    </row>
    <row r="69" ht="15.75" customHeight="1">
      <c r="F69" s="41"/>
    </row>
    <row r="70" ht="15.75" customHeight="1">
      <c r="F70" s="41"/>
    </row>
    <row r="71" ht="15.75" customHeight="1">
      <c r="F71" s="41"/>
    </row>
    <row r="72" ht="15.75" customHeight="1">
      <c r="F72" s="41"/>
    </row>
    <row r="73" ht="15.75" customHeight="1">
      <c r="F73" s="41"/>
    </row>
    <row r="74" ht="15.75" customHeight="1">
      <c r="F74" s="41"/>
    </row>
    <row r="75" ht="15.75" customHeight="1">
      <c r="F75" s="41"/>
    </row>
    <row r="76" ht="15.75" customHeight="1">
      <c r="F76" s="41"/>
    </row>
    <row r="77" ht="15.75" customHeight="1">
      <c r="F77" s="41"/>
    </row>
    <row r="78" ht="15.75" customHeight="1">
      <c r="F78" s="41"/>
    </row>
    <row r="79" ht="15.75" customHeight="1">
      <c r="F79" s="41"/>
    </row>
    <row r="80" ht="15.75" customHeight="1">
      <c r="F80" s="41"/>
    </row>
    <row r="81" ht="15.75" customHeight="1">
      <c r="F81" s="41"/>
    </row>
    <row r="82" ht="15.75" customHeight="1">
      <c r="F82" s="41"/>
    </row>
    <row r="83" ht="15.75" customHeight="1">
      <c r="F83" s="41"/>
    </row>
    <row r="84" ht="15.75" customHeight="1">
      <c r="F84" s="41"/>
    </row>
    <row r="85" ht="15.75" customHeight="1">
      <c r="F85" s="41"/>
    </row>
    <row r="86" ht="15.75" customHeight="1">
      <c r="F86" s="41"/>
    </row>
    <row r="87" ht="15.75" customHeight="1">
      <c r="F87" s="41"/>
    </row>
    <row r="88" ht="15.75" customHeight="1">
      <c r="F88" s="41"/>
    </row>
    <row r="89" ht="15.75" customHeight="1">
      <c r="F89" s="41"/>
    </row>
    <row r="90" ht="15.75" customHeight="1">
      <c r="F90" s="41"/>
    </row>
    <row r="91" ht="15.75" customHeight="1">
      <c r="F91" s="41"/>
    </row>
    <row r="92" ht="15.75" customHeight="1">
      <c r="F92" s="41"/>
    </row>
    <row r="93" ht="15.75" customHeight="1">
      <c r="F93" s="41"/>
    </row>
    <row r="94" ht="15.75" customHeight="1">
      <c r="F94" s="41"/>
    </row>
    <row r="95" ht="15.75" customHeight="1">
      <c r="F95" s="41"/>
    </row>
    <row r="96" ht="15.75" customHeight="1">
      <c r="F96" s="41"/>
    </row>
    <row r="97" ht="15.75" customHeight="1">
      <c r="F97" s="41"/>
    </row>
    <row r="98" ht="15.75" customHeight="1">
      <c r="F98" s="41"/>
    </row>
    <row r="99" ht="15.75" customHeight="1">
      <c r="F99" s="41"/>
    </row>
    <row r="100" ht="15.75" customHeight="1">
      <c r="F100" s="41"/>
    </row>
    <row r="101" ht="15.75" customHeight="1">
      <c r="F101" s="41"/>
    </row>
    <row r="102" ht="15.75" customHeight="1">
      <c r="F102" s="41"/>
    </row>
    <row r="103" ht="15.75" customHeight="1">
      <c r="F103" s="41"/>
    </row>
    <row r="104" ht="15.75" customHeight="1">
      <c r="F104" s="41"/>
    </row>
    <row r="105" ht="15.75" customHeight="1">
      <c r="F105" s="41"/>
    </row>
    <row r="106" ht="15.75" customHeight="1">
      <c r="F106" s="41"/>
    </row>
    <row r="107" ht="15.75" customHeight="1">
      <c r="F107" s="41"/>
    </row>
    <row r="108" ht="15.75" customHeight="1">
      <c r="F108" s="41"/>
    </row>
    <row r="109" ht="15.75" customHeight="1">
      <c r="F109" s="41"/>
    </row>
    <row r="110" ht="15.75" customHeight="1">
      <c r="F110" s="41"/>
    </row>
    <row r="111" ht="15.75" customHeight="1">
      <c r="F111" s="41"/>
    </row>
    <row r="112" ht="15.75" customHeight="1">
      <c r="F112" s="41"/>
    </row>
    <row r="113" ht="15.75" customHeight="1">
      <c r="F113" s="41"/>
    </row>
    <row r="114" ht="15.75" customHeight="1">
      <c r="F114" s="41"/>
    </row>
    <row r="115" ht="15.75" customHeight="1">
      <c r="F115" s="41"/>
    </row>
    <row r="116" ht="15.75" customHeight="1">
      <c r="F116" s="41"/>
    </row>
    <row r="117" ht="15.75" customHeight="1">
      <c r="F117" s="41"/>
    </row>
    <row r="118" ht="15.75" customHeight="1">
      <c r="F118" s="41"/>
    </row>
    <row r="119" ht="15.75" customHeight="1">
      <c r="F119" s="41"/>
    </row>
    <row r="120" ht="15.75" customHeight="1">
      <c r="F120" s="41"/>
    </row>
    <row r="121" ht="15.75" customHeight="1">
      <c r="F121" s="41"/>
    </row>
    <row r="122" ht="15.75" customHeight="1">
      <c r="F122" s="41"/>
    </row>
    <row r="123" ht="15.75" customHeight="1">
      <c r="F123" s="41"/>
    </row>
    <row r="124" ht="15.75" customHeight="1">
      <c r="F124" s="41"/>
    </row>
    <row r="125" ht="15.75" customHeight="1">
      <c r="F125" s="41"/>
    </row>
    <row r="126" ht="15.75" customHeight="1">
      <c r="F126" s="41"/>
    </row>
    <row r="127" ht="15.75" customHeight="1">
      <c r="F127" s="41"/>
    </row>
    <row r="128" ht="15.75" customHeight="1">
      <c r="F128" s="41"/>
    </row>
    <row r="129" ht="15.75" customHeight="1">
      <c r="F129" s="41"/>
    </row>
    <row r="130" ht="15.75" customHeight="1">
      <c r="F130" s="41"/>
    </row>
    <row r="131" ht="15.75" customHeight="1">
      <c r="F131" s="41"/>
    </row>
    <row r="132" ht="15.75" customHeight="1">
      <c r="F132" s="41"/>
    </row>
    <row r="133" ht="15.75" customHeight="1">
      <c r="F133" s="41"/>
    </row>
    <row r="134" ht="15.75" customHeight="1">
      <c r="F134" s="41"/>
    </row>
    <row r="135" ht="15.75" customHeight="1">
      <c r="F135" s="41"/>
    </row>
    <row r="136" ht="15.75" customHeight="1">
      <c r="F136" s="41"/>
    </row>
    <row r="137" ht="15.75" customHeight="1">
      <c r="F137" s="41"/>
    </row>
    <row r="138" ht="15.75" customHeight="1">
      <c r="F138" s="41"/>
    </row>
    <row r="139" ht="15.75" customHeight="1">
      <c r="F139" s="41"/>
    </row>
    <row r="140" ht="15.75" customHeight="1">
      <c r="F140" s="41"/>
    </row>
    <row r="141" ht="15.75" customHeight="1">
      <c r="F141" s="41"/>
    </row>
    <row r="142" ht="15.75" customHeight="1">
      <c r="F142" s="41"/>
    </row>
    <row r="143" ht="15.75" customHeight="1">
      <c r="F143" s="41"/>
    </row>
    <row r="144" ht="15.75" customHeight="1">
      <c r="F144" s="41"/>
    </row>
    <row r="145" ht="15.75" customHeight="1">
      <c r="F145" s="41"/>
    </row>
    <row r="146" ht="15.75" customHeight="1">
      <c r="F146" s="41"/>
    </row>
    <row r="147" ht="15.75" customHeight="1">
      <c r="F147" s="41"/>
    </row>
    <row r="148" ht="15.75" customHeight="1">
      <c r="F148" s="41"/>
    </row>
    <row r="149" ht="15.75" customHeight="1">
      <c r="F149" s="41"/>
    </row>
    <row r="150" ht="15.75" customHeight="1">
      <c r="F150" s="41"/>
    </row>
    <row r="151" ht="15.75" customHeight="1">
      <c r="F151" s="41"/>
    </row>
    <row r="152" ht="15.75" customHeight="1">
      <c r="F152" s="41"/>
    </row>
    <row r="153" ht="15.75" customHeight="1">
      <c r="F153" s="41"/>
    </row>
    <row r="154" ht="15.75" customHeight="1">
      <c r="F154" s="41"/>
    </row>
    <row r="155" ht="15.75" customHeight="1">
      <c r="F155" s="41"/>
    </row>
    <row r="156" ht="15.75" customHeight="1">
      <c r="F156" s="41"/>
    </row>
    <row r="157" ht="15.75" customHeight="1">
      <c r="F157" s="41"/>
    </row>
    <row r="158" ht="15.75" customHeight="1">
      <c r="F158" s="41"/>
    </row>
    <row r="159" ht="15.75" customHeight="1">
      <c r="F159" s="41"/>
    </row>
    <row r="160" ht="15.75" customHeight="1">
      <c r="F160" s="41"/>
    </row>
    <row r="161" ht="15.75" customHeight="1">
      <c r="F161" s="41"/>
    </row>
    <row r="162" ht="15.75" customHeight="1">
      <c r="F162" s="41"/>
    </row>
    <row r="163" ht="15.75" customHeight="1">
      <c r="F163" s="41"/>
    </row>
    <row r="164" ht="15.75" customHeight="1">
      <c r="F164" s="41"/>
    </row>
    <row r="165" ht="15.75" customHeight="1">
      <c r="F165" s="41"/>
    </row>
    <row r="166" ht="15.75" customHeight="1">
      <c r="F166" s="41"/>
    </row>
    <row r="167" ht="15.75" customHeight="1">
      <c r="F167" s="41"/>
    </row>
    <row r="168" ht="15.75" customHeight="1">
      <c r="F168" s="41"/>
    </row>
    <row r="169" ht="15.75" customHeight="1">
      <c r="F169" s="41"/>
    </row>
    <row r="170" ht="15.75" customHeight="1">
      <c r="F170" s="41"/>
    </row>
    <row r="171" ht="15.75" customHeight="1">
      <c r="F171" s="41"/>
    </row>
    <row r="172" ht="15.75" customHeight="1">
      <c r="F172" s="41"/>
    </row>
    <row r="173" ht="15.75" customHeight="1">
      <c r="F173" s="41"/>
    </row>
    <row r="174" ht="15.75" customHeight="1">
      <c r="F174" s="41"/>
    </row>
    <row r="175" ht="15.75" customHeight="1">
      <c r="F175" s="41"/>
    </row>
    <row r="176" ht="15.75" customHeight="1">
      <c r="F176" s="41"/>
    </row>
    <row r="177" ht="15.75" customHeight="1">
      <c r="F177" s="41"/>
    </row>
    <row r="178" ht="15.75" customHeight="1">
      <c r="F178" s="41"/>
    </row>
    <row r="179" ht="15.75" customHeight="1">
      <c r="F179" s="41"/>
    </row>
    <row r="180" ht="15.75" customHeight="1">
      <c r="F180" s="41"/>
    </row>
    <row r="181" ht="15.75" customHeight="1">
      <c r="F181" s="41"/>
    </row>
    <row r="182" ht="15.75" customHeight="1">
      <c r="F182" s="41"/>
    </row>
    <row r="183" ht="15.75" customHeight="1">
      <c r="F183" s="41"/>
    </row>
    <row r="184" ht="15.75" customHeight="1">
      <c r="F184" s="41"/>
    </row>
    <row r="185" ht="15.75" customHeight="1">
      <c r="F185" s="41"/>
    </row>
    <row r="186" ht="15.75" customHeight="1">
      <c r="F186" s="41"/>
    </row>
    <row r="187" ht="15.75" customHeight="1">
      <c r="F187" s="41"/>
    </row>
    <row r="188" ht="15.75" customHeight="1">
      <c r="F188" s="41"/>
    </row>
    <row r="189" ht="15.75" customHeight="1">
      <c r="F189" s="41"/>
    </row>
    <row r="190" ht="15.75" customHeight="1">
      <c r="F190" s="41"/>
    </row>
    <row r="191" ht="15.75" customHeight="1">
      <c r="F191" s="41"/>
    </row>
    <row r="192" ht="15.75" customHeight="1">
      <c r="F192" s="41"/>
    </row>
    <row r="193" ht="15.75" customHeight="1">
      <c r="F193" s="41"/>
    </row>
    <row r="194" ht="15.75" customHeight="1">
      <c r="F194" s="41"/>
    </row>
    <row r="195" ht="15.75" customHeight="1">
      <c r="F195" s="41"/>
    </row>
    <row r="196" ht="15.75" customHeight="1">
      <c r="F196" s="41"/>
    </row>
    <row r="197" ht="15.75" customHeight="1">
      <c r="F197" s="41"/>
    </row>
    <row r="198" ht="15.75" customHeight="1">
      <c r="F198" s="41"/>
    </row>
    <row r="199" ht="15.75" customHeight="1">
      <c r="F199" s="41"/>
    </row>
    <row r="200" ht="15.75" customHeight="1">
      <c r="F200" s="41"/>
    </row>
    <row r="201" ht="15.75" customHeight="1">
      <c r="F201" s="41"/>
    </row>
    <row r="202" ht="15.75" customHeight="1">
      <c r="F202" s="41"/>
    </row>
    <row r="203" ht="15.75" customHeight="1">
      <c r="F203" s="41"/>
    </row>
    <row r="204" ht="15.75" customHeight="1">
      <c r="F204" s="41"/>
    </row>
    <row r="205" ht="15.75" customHeight="1">
      <c r="F205" s="41"/>
    </row>
    <row r="206" ht="15.75" customHeight="1">
      <c r="F206" s="41"/>
    </row>
    <row r="207" ht="15.75" customHeight="1">
      <c r="F207" s="41"/>
    </row>
    <row r="208" ht="15.75" customHeight="1">
      <c r="F208" s="41"/>
    </row>
    <row r="209" ht="15.75" customHeight="1">
      <c r="F209" s="41"/>
    </row>
    <row r="210" ht="15.75" customHeight="1">
      <c r="F210" s="41"/>
    </row>
    <row r="211" ht="15.75" customHeight="1">
      <c r="F211" s="41"/>
    </row>
    <row r="212" ht="15.75" customHeight="1">
      <c r="F212" s="41"/>
    </row>
    <row r="213" ht="15.75" customHeight="1">
      <c r="F213" s="41"/>
    </row>
    <row r="214" ht="15.75" customHeight="1">
      <c r="F214" s="41"/>
    </row>
    <row r="215" ht="15.75" customHeight="1">
      <c r="F215" s="41"/>
    </row>
    <row r="216" ht="15.75" customHeight="1">
      <c r="F216" s="41"/>
    </row>
    <row r="217" ht="15.75" customHeight="1">
      <c r="F217" s="41"/>
    </row>
    <row r="218" ht="15.75" customHeight="1">
      <c r="F218" s="41"/>
    </row>
    <row r="219" ht="15.75" customHeight="1">
      <c r="F219" s="41"/>
    </row>
    <row r="220" ht="15.75" customHeight="1">
      <c r="F220" s="41"/>
    </row>
    <row r="221" ht="15.75" customHeight="1">
      <c r="F221" s="41"/>
    </row>
    <row r="222" ht="15.75" customHeight="1">
      <c r="F222" s="41"/>
    </row>
    <row r="223" ht="15.75" customHeight="1">
      <c r="F223" s="41"/>
    </row>
    <row r="224" ht="15.75" customHeight="1">
      <c r="F224" s="41"/>
    </row>
    <row r="225" ht="15.75" customHeight="1">
      <c r="F225" s="41"/>
    </row>
    <row r="226" ht="15.75" customHeight="1">
      <c r="F226" s="41"/>
    </row>
    <row r="227" ht="15.75" customHeight="1">
      <c r="F227" s="41"/>
    </row>
    <row r="228" ht="15.75" customHeight="1">
      <c r="F228" s="41"/>
    </row>
    <row r="229" ht="15.75" customHeight="1">
      <c r="F229" s="41"/>
    </row>
    <row r="230" ht="15.75" customHeight="1">
      <c r="F230" s="41"/>
    </row>
    <row r="231" ht="15.75" customHeight="1">
      <c r="F231" s="41"/>
    </row>
    <row r="232" ht="15.75" customHeight="1">
      <c r="F232" s="41"/>
    </row>
    <row r="233" ht="15.75" customHeight="1">
      <c r="F233" s="41"/>
    </row>
    <row r="234" ht="15.75" customHeight="1">
      <c r="F234" s="41"/>
    </row>
    <row r="235" ht="15.75" customHeight="1">
      <c r="F235" s="41"/>
    </row>
    <row r="236" ht="15.75" customHeight="1">
      <c r="F236" s="41"/>
    </row>
    <row r="237" ht="15.75" customHeight="1">
      <c r="F237" s="41"/>
    </row>
    <row r="238" ht="15.75" customHeight="1">
      <c r="F238" s="41"/>
    </row>
    <row r="239" ht="15.75" customHeight="1">
      <c r="F239" s="41"/>
    </row>
    <row r="240" ht="15.75" customHeight="1">
      <c r="F240" s="41"/>
    </row>
    <row r="241" ht="15.75" customHeight="1">
      <c r="F241" s="41"/>
    </row>
    <row r="242" ht="15.75" customHeight="1">
      <c r="F242" s="41"/>
    </row>
    <row r="243" ht="15.75" customHeight="1">
      <c r="F243" s="41"/>
    </row>
    <row r="244" ht="15.75" customHeight="1">
      <c r="F244" s="41"/>
    </row>
    <row r="245" ht="15.75" customHeight="1">
      <c r="F245" s="41"/>
    </row>
    <row r="246" ht="15.75" customHeight="1">
      <c r="F246" s="41"/>
    </row>
    <row r="247" ht="15.75" customHeight="1">
      <c r="F247" s="41"/>
    </row>
    <row r="248" ht="15.75" customHeight="1">
      <c r="F248" s="41"/>
    </row>
    <row r="249" ht="15.75" customHeight="1">
      <c r="F249" s="41"/>
    </row>
    <row r="250" ht="15.75" customHeight="1">
      <c r="F250" s="41"/>
    </row>
    <row r="251" ht="15.75" customHeight="1">
      <c r="F251" s="41"/>
    </row>
    <row r="252" ht="15.75" customHeight="1">
      <c r="F252" s="41"/>
    </row>
    <row r="253" ht="15.75" customHeight="1">
      <c r="F253" s="41"/>
    </row>
    <row r="254" ht="15.75" customHeight="1">
      <c r="F254" s="41"/>
    </row>
    <row r="255" ht="15.75" customHeight="1">
      <c r="F255" s="41"/>
    </row>
    <row r="256" ht="15.75" customHeight="1">
      <c r="F256" s="41"/>
    </row>
    <row r="257" ht="15.75" customHeight="1">
      <c r="F257" s="41"/>
    </row>
    <row r="258" ht="15.75" customHeight="1">
      <c r="F258" s="41"/>
    </row>
    <row r="259" ht="15.75" customHeight="1">
      <c r="F259" s="41"/>
    </row>
    <row r="260" ht="15.75" customHeight="1">
      <c r="F260" s="41"/>
    </row>
    <row r="261" ht="15.75" customHeight="1">
      <c r="F261" s="41"/>
    </row>
    <row r="262" ht="15.75" customHeight="1">
      <c r="F262" s="41"/>
    </row>
    <row r="263" ht="15.75" customHeight="1">
      <c r="F263" s="41"/>
    </row>
    <row r="264" ht="15.75" customHeight="1">
      <c r="F264" s="41"/>
    </row>
    <row r="265" ht="15.75" customHeight="1">
      <c r="F265" s="41"/>
    </row>
    <row r="266" ht="15.75" customHeight="1">
      <c r="F266" s="41"/>
    </row>
    <row r="267" ht="15.75" customHeight="1">
      <c r="F267" s="41"/>
    </row>
    <row r="268" ht="15.75" customHeight="1">
      <c r="F268" s="41"/>
    </row>
    <row r="269" ht="15.75" customHeight="1">
      <c r="F269" s="41"/>
    </row>
    <row r="270" ht="15.75" customHeight="1">
      <c r="F270" s="41"/>
    </row>
    <row r="271" ht="15.75" customHeight="1">
      <c r="F271" s="41"/>
    </row>
    <row r="272" ht="15.75" customHeight="1">
      <c r="F272" s="41"/>
    </row>
    <row r="273" ht="15.75" customHeight="1">
      <c r="F273" s="41"/>
    </row>
    <row r="274" ht="15.75" customHeight="1">
      <c r="F274" s="41"/>
    </row>
    <row r="275" ht="15.75" customHeight="1">
      <c r="F275" s="41"/>
    </row>
    <row r="276" ht="15.75" customHeight="1">
      <c r="F276" s="41"/>
    </row>
    <row r="277" ht="15.75" customHeight="1">
      <c r="F277" s="41"/>
    </row>
    <row r="278" ht="15.75" customHeight="1">
      <c r="F278" s="41"/>
    </row>
    <row r="279" ht="15.75" customHeight="1">
      <c r="F279" s="41"/>
    </row>
    <row r="280" ht="15.75" customHeight="1">
      <c r="F280" s="41"/>
    </row>
    <row r="281" ht="15.75" customHeight="1">
      <c r="F281" s="41"/>
    </row>
    <row r="282" ht="15.75" customHeight="1">
      <c r="F282" s="41"/>
    </row>
    <row r="283" ht="15.75" customHeight="1">
      <c r="F283" s="41"/>
    </row>
    <row r="284" ht="15.75" customHeight="1">
      <c r="F284" s="41"/>
    </row>
    <row r="285" ht="15.75" customHeight="1">
      <c r="F285" s="41"/>
    </row>
    <row r="286" ht="15.75" customHeight="1">
      <c r="F286" s="41"/>
    </row>
    <row r="287" ht="15.75" customHeight="1">
      <c r="F287" s="41"/>
    </row>
    <row r="288" ht="15.75" customHeight="1">
      <c r="F288" s="41"/>
    </row>
    <row r="289" ht="15.75" customHeight="1">
      <c r="F289" s="41"/>
    </row>
    <row r="290" ht="15.75" customHeight="1">
      <c r="F290" s="41"/>
    </row>
    <row r="291" ht="15.75" customHeight="1">
      <c r="F291" s="41"/>
    </row>
    <row r="292" ht="15.75" customHeight="1">
      <c r="F292" s="41"/>
    </row>
    <row r="293" ht="15.75" customHeight="1">
      <c r="F293" s="41"/>
    </row>
    <row r="294" ht="15.75" customHeight="1">
      <c r="F294" s="41"/>
    </row>
    <row r="295" ht="15.75" customHeight="1">
      <c r="F295" s="41"/>
    </row>
    <row r="296" ht="15.75" customHeight="1">
      <c r="F296" s="41"/>
    </row>
    <row r="297" ht="15.75" customHeight="1">
      <c r="F297" s="41"/>
    </row>
    <row r="298" ht="15.75" customHeight="1">
      <c r="F298" s="41"/>
    </row>
    <row r="299" ht="15.75" customHeight="1">
      <c r="F299" s="41"/>
    </row>
    <row r="300" ht="15.75" customHeight="1">
      <c r="F300" s="41"/>
    </row>
    <row r="301" ht="15.75" customHeight="1">
      <c r="F301" s="41"/>
    </row>
    <row r="302" ht="15.75" customHeight="1">
      <c r="F302" s="41"/>
    </row>
    <row r="303" ht="15.75" customHeight="1">
      <c r="F303" s="41"/>
    </row>
    <row r="304" ht="15.75" customHeight="1">
      <c r="F304" s="41"/>
    </row>
    <row r="305" ht="15.75" customHeight="1">
      <c r="F305" s="41"/>
    </row>
    <row r="306" ht="15.75" customHeight="1">
      <c r="F306" s="41"/>
    </row>
    <row r="307" ht="15.75" customHeight="1">
      <c r="F307" s="41"/>
    </row>
    <row r="308" ht="15.75" customHeight="1">
      <c r="F308" s="41"/>
    </row>
    <row r="309" ht="15.75" customHeight="1">
      <c r="F309" s="41"/>
    </row>
    <row r="310" ht="15.75" customHeight="1">
      <c r="F310" s="41"/>
    </row>
    <row r="311" ht="15.75" customHeight="1">
      <c r="F311" s="41"/>
    </row>
    <row r="312" ht="15.75" customHeight="1">
      <c r="F312" s="41"/>
    </row>
    <row r="313" ht="15.75" customHeight="1">
      <c r="F313" s="41"/>
    </row>
    <row r="314" ht="15.75" customHeight="1">
      <c r="F314" s="41"/>
    </row>
    <row r="315" ht="15.75" customHeight="1">
      <c r="F315" s="41"/>
    </row>
    <row r="316" ht="15.75" customHeight="1">
      <c r="F316" s="41"/>
    </row>
    <row r="317" ht="15.75" customHeight="1">
      <c r="F317" s="41"/>
    </row>
    <row r="318" ht="15.75" customHeight="1">
      <c r="F318" s="41"/>
    </row>
    <row r="319" ht="15.75" customHeight="1">
      <c r="F319" s="41"/>
    </row>
    <row r="320" ht="15.75" customHeight="1">
      <c r="F320" s="41"/>
    </row>
    <row r="321" ht="15.75" customHeight="1">
      <c r="F321" s="41"/>
    </row>
    <row r="322" ht="15.75" customHeight="1">
      <c r="F322" s="41"/>
    </row>
    <row r="323" ht="15.75" customHeight="1">
      <c r="F323" s="41"/>
    </row>
    <row r="324" ht="15.75" customHeight="1">
      <c r="F324" s="41"/>
    </row>
    <row r="325" ht="15.75" customHeight="1">
      <c r="F325" s="41"/>
    </row>
    <row r="326" ht="15.75" customHeight="1">
      <c r="F326" s="41"/>
    </row>
    <row r="327" ht="15.75" customHeight="1">
      <c r="F327" s="41"/>
    </row>
    <row r="328" ht="15.75" customHeight="1">
      <c r="F328" s="41"/>
    </row>
    <row r="329" ht="15.75" customHeight="1">
      <c r="F329" s="41"/>
    </row>
    <row r="330" ht="15.75" customHeight="1">
      <c r="F330" s="41"/>
    </row>
    <row r="331" ht="15.75" customHeight="1">
      <c r="F331" s="41"/>
    </row>
    <row r="332" ht="15.75" customHeight="1">
      <c r="F332" s="41"/>
    </row>
    <row r="333" ht="15.75" customHeight="1">
      <c r="F333" s="41"/>
    </row>
    <row r="334" ht="15.75" customHeight="1">
      <c r="F334" s="41"/>
    </row>
    <row r="335" ht="15.75" customHeight="1">
      <c r="F335" s="41"/>
    </row>
    <row r="336" ht="15.75" customHeight="1">
      <c r="F336" s="41"/>
    </row>
    <row r="337" ht="15.75" customHeight="1">
      <c r="F337" s="41"/>
    </row>
    <row r="338" ht="15.75" customHeight="1">
      <c r="F338" s="41"/>
    </row>
    <row r="339" ht="15.75" customHeight="1">
      <c r="F339" s="41"/>
    </row>
    <row r="340" ht="15.75" customHeight="1">
      <c r="F340" s="41"/>
    </row>
    <row r="341" ht="15.75" customHeight="1">
      <c r="F341" s="41"/>
    </row>
    <row r="342" ht="15.75" customHeight="1">
      <c r="F342" s="41"/>
    </row>
    <row r="343" ht="15.75" customHeight="1">
      <c r="F343" s="41"/>
    </row>
    <row r="344" ht="15.75" customHeight="1">
      <c r="F344" s="41"/>
    </row>
    <row r="345" ht="15.75" customHeight="1">
      <c r="F345" s="41"/>
    </row>
    <row r="346" ht="15.75" customHeight="1">
      <c r="F346" s="41"/>
    </row>
    <row r="347" ht="15.75" customHeight="1">
      <c r="F347" s="41"/>
    </row>
    <row r="348" ht="15.75" customHeight="1">
      <c r="F348" s="41"/>
    </row>
    <row r="349" ht="15.75" customHeight="1">
      <c r="F349" s="41"/>
    </row>
    <row r="350" ht="15.75" customHeight="1">
      <c r="F350" s="41"/>
    </row>
    <row r="351" ht="15.75" customHeight="1">
      <c r="F351" s="41"/>
    </row>
    <row r="352" ht="15.75" customHeight="1">
      <c r="F352" s="41"/>
    </row>
    <row r="353" ht="15.75" customHeight="1">
      <c r="F353" s="41"/>
    </row>
    <row r="354" ht="15.75" customHeight="1">
      <c r="F354" s="41"/>
    </row>
    <row r="355" ht="15.75" customHeight="1">
      <c r="F355" s="41"/>
    </row>
    <row r="356" ht="15.75" customHeight="1">
      <c r="F356" s="41"/>
    </row>
    <row r="357" ht="15.75" customHeight="1">
      <c r="F357" s="41"/>
    </row>
    <row r="358" ht="15.75" customHeight="1">
      <c r="F358" s="41"/>
    </row>
    <row r="359" ht="15.75" customHeight="1">
      <c r="F359" s="41"/>
    </row>
    <row r="360" ht="15.75" customHeight="1">
      <c r="F360" s="41"/>
    </row>
    <row r="361" ht="15.75" customHeight="1">
      <c r="F361" s="41"/>
    </row>
    <row r="362" ht="15.75" customHeight="1">
      <c r="F362" s="41"/>
    </row>
    <row r="363" ht="15.75" customHeight="1">
      <c r="F363" s="41"/>
    </row>
    <row r="364" ht="15.75" customHeight="1">
      <c r="F364" s="41"/>
    </row>
    <row r="365" ht="15.75" customHeight="1">
      <c r="F365" s="41"/>
    </row>
    <row r="366" ht="15.75" customHeight="1">
      <c r="F366" s="41"/>
    </row>
    <row r="367" ht="15.75" customHeight="1">
      <c r="F367" s="41"/>
    </row>
    <row r="368" ht="15.75" customHeight="1">
      <c r="F368" s="41"/>
    </row>
    <row r="369" ht="15.75" customHeight="1">
      <c r="F369" s="41"/>
    </row>
    <row r="370" ht="15.75" customHeight="1">
      <c r="F370" s="41"/>
    </row>
    <row r="371" ht="15.75" customHeight="1">
      <c r="F371" s="41"/>
    </row>
    <row r="372" ht="15.75" customHeight="1">
      <c r="F372" s="41"/>
    </row>
    <row r="373" ht="15.75" customHeight="1">
      <c r="F373" s="41"/>
    </row>
    <row r="374" ht="15.75" customHeight="1">
      <c r="F374" s="41"/>
    </row>
    <row r="375" ht="15.75" customHeight="1">
      <c r="F375" s="41"/>
    </row>
    <row r="376" ht="15.75" customHeight="1">
      <c r="F376" s="41"/>
    </row>
    <row r="377" ht="15.75" customHeight="1">
      <c r="F377" s="41"/>
    </row>
    <row r="378" ht="15.75" customHeight="1">
      <c r="F378" s="41"/>
    </row>
    <row r="379" ht="15.75" customHeight="1">
      <c r="F379" s="41"/>
    </row>
    <row r="380" ht="15.75" customHeight="1">
      <c r="F380" s="41"/>
    </row>
    <row r="381" ht="15.75" customHeight="1">
      <c r="F381" s="41"/>
    </row>
    <row r="382" ht="15.75" customHeight="1">
      <c r="F382" s="41"/>
    </row>
    <row r="383" ht="15.75" customHeight="1">
      <c r="F383" s="41"/>
    </row>
    <row r="384" ht="15.75" customHeight="1">
      <c r="F384" s="41"/>
    </row>
    <row r="385" ht="15.75" customHeight="1">
      <c r="F385" s="41"/>
    </row>
    <row r="386" ht="15.75" customHeight="1">
      <c r="F386" s="41"/>
    </row>
    <row r="387" ht="15.75" customHeight="1">
      <c r="F387" s="41"/>
    </row>
    <row r="388" ht="15.75" customHeight="1">
      <c r="F388" s="41"/>
    </row>
    <row r="389" ht="15.75" customHeight="1">
      <c r="F389" s="41"/>
    </row>
    <row r="390" ht="15.75" customHeight="1">
      <c r="F390" s="41"/>
    </row>
    <row r="391" ht="15.75" customHeight="1">
      <c r="F391" s="41"/>
    </row>
    <row r="392" ht="15.75" customHeight="1">
      <c r="F392" s="41"/>
    </row>
    <row r="393" ht="15.75" customHeight="1">
      <c r="F393" s="41"/>
    </row>
    <row r="394" ht="15.75" customHeight="1">
      <c r="F394" s="41"/>
    </row>
    <row r="395" ht="15.75" customHeight="1">
      <c r="F395" s="41"/>
    </row>
    <row r="396" ht="15.75" customHeight="1">
      <c r="F396" s="41"/>
    </row>
    <row r="397" ht="15.75" customHeight="1">
      <c r="F397" s="41"/>
    </row>
    <row r="398" ht="15.75" customHeight="1">
      <c r="F398" s="41"/>
    </row>
    <row r="399" ht="15.75" customHeight="1">
      <c r="F399" s="41"/>
    </row>
    <row r="400" ht="15.75" customHeight="1">
      <c r="F400" s="41"/>
    </row>
    <row r="401" ht="15.75" customHeight="1">
      <c r="F401" s="41"/>
    </row>
    <row r="402" ht="15.75" customHeight="1">
      <c r="F402" s="41"/>
    </row>
    <row r="403" ht="15.75" customHeight="1">
      <c r="F403" s="41"/>
    </row>
    <row r="404" ht="15.75" customHeight="1">
      <c r="F404" s="41"/>
    </row>
    <row r="405" ht="15.75" customHeight="1">
      <c r="F405" s="41"/>
    </row>
    <row r="406" ht="15.75" customHeight="1">
      <c r="F406" s="41"/>
    </row>
    <row r="407" ht="15.75" customHeight="1">
      <c r="F407" s="41"/>
    </row>
    <row r="408" ht="15.75" customHeight="1">
      <c r="F408" s="41"/>
    </row>
    <row r="409" ht="15.75" customHeight="1">
      <c r="F409" s="41"/>
    </row>
    <row r="410" ht="15.75" customHeight="1">
      <c r="F410" s="41"/>
    </row>
    <row r="411" ht="15.75" customHeight="1">
      <c r="F411" s="41"/>
    </row>
    <row r="412" ht="15.75" customHeight="1">
      <c r="F412" s="41"/>
    </row>
    <row r="413" ht="15.75" customHeight="1">
      <c r="F413" s="41"/>
    </row>
    <row r="414" ht="15.75" customHeight="1">
      <c r="F414" s="41"/>
    </row>
    <row r="415" ht="15.75" customHeight="1">
      <c r="F415" s="41"/>
    </row>
    <row r="416" ht="15.75" customHeight="1">
      <c r="F416" s="41"/>
    </row>
    <row r="417" ht="15.75" customHeight="1">
      <c r="F417" s="41"/>
    </row>
    <row r="418" ht="15.75" customHeight="1">
      <c r="F418" s="41"/>
    </row>
    <row r="419" ht="15.75" customHeight="1">
      <c r="F419" s="41"/>
    </row>
    <row r="420" ht="15.75" customHeight="1">
      <c r="F420" s="41"/>
    </row>
    <row r="421" ht="15.75" customHeight="1">
      <c r="F421" s="41"/>
    </row>
    <row r="422" ht="15.75" customHeight="1">
      <c r="F422" s="41"/>
    </row>
    <row r="423" ht="15.75" customHeight="1">
      <c r="F423" s="41"/>
    </row>
    <row r="424" ht="15.75" customHeight="1">
      <c r="F424" s="41"/>
    </row>
    <row r="425" ht="15.75" customHeight="1">
      <c r="F425" s="41"/>
    </row>
    <row r="426" ht="15.75" customHeight="1">
      <c r="F426" s="41"/>
    </row>
    <row r="427" ht="15.75" customHeight="1">
      <c r="F427" s="41"/>
    </row>
    <row r="428" ht="15.75" customHeight="1">
      <c r="F428" s="41"/>
    </row>
    <row r="429" ht="15.75" customHeight="1">
      <c r="F429" s="41"/>
    </row>
    <row r="430" ht="15.75" customHeight="1">
      <c r="F430" s="41"/>
    </row>
    <row r="431" ht="15.75" customHeight="1">
      <c r="F431" s="41"/>
    </row>
    <row r="432" ht="15.75" customHeight="1">
      <c r="F432" s="41"/>
    </row>
    <row r="433" ht="15.75" customHeight="1">
      <c r="F433" s="41"/>
    </row>
    <row r="434" ht="15.75" customHeight="1">
      <c r="F434" s="41"/>
    </row>
    <row r="435" ht="15.75" customHeight="1">
      <c r="F435" s="41"/>
    </row>
    <row r="436" ht="15.75" customHeight="1">
      <c r="F436" s="41"/>
    </row>
    <row r="437" ht="15.75" customHeight="1">
      <c r="F437" s="41"/>
    </row>
    <row r="438" ht="15.75" customHeight="1">
      <c r="F438" s="41"/>
    </row>
    <row r="439" ht="15.75" customHeight="1">
      <c r="F439" s="41"/>
    </row>
    <row r="440" ht="15.75" customHeight="1">
      <c r="F440" s="41"/>
    </row>
    <row r="441" ht="15.75" customHeight="1">
      <c r="F441" s="41"/>
    </row>
    <row r="442" ht="15.75" customHeight="1">
      <c r="F442" s="41"/>
    </row>
    <row r="443" ht="15.75" customHeight="1">
      <c r="F443" s="41"/>
    </row>
    <row r="444" ht="15.75" customHeight="1">
      <c r="F444" s="41"/>
    </row>
    <row r="445" ht="15.75" customHeight="1">
      <c r="F445" s="41"/>
    </row>
    <row r="446" ht="15.75" customHeight="1">
      <c r="F446" s="41"/>
    </row>
    <row r="447" ht="15.75" customHeight="1">
      <c r="F447" s="41"/>
    </row>
    <row r="448" ht="15.75" customHeight="1">
      <c r="F448" s="41"/>
    </row>
    <row r="449" ht="15.75" customHeight="1">
      <c r="F449" s="41"/>
    </row>
    <row r="450" ht="15.75" customHeight="1">
      <c r="F450" s="41"/>
    </row>
    <row r="451" ht="15.75" customHeight="1">
      <c r="F451" s="41"/>
    </row>
    <row r="452" ht="15.75" customHeight="1">
      <c r="F452" s="41"/>
    </row>
    <row r="453" ht="15.75" customHeight="1">
      <c r="F453" s="41"/>
    </row>
    <row r="454" ht="15.75" customHeight="1">
      <c r="F454" s="41"/>
    </row>
    <row r="455" ht="15.75" customHeight="1">
      <c r="F455" s="41"/>
    </row>
    <row r="456" ht="15.75" customHeight="1">
      <c r="F456" s="41"/>
    </row>
    <row r="457" ht="15.75" customHeight="1">
      <c r="F457" s="41"/>
    </row>
    <row r="458" ht="15.75" customHeight="1">
      <c r="F458" s="41"/>
    </row>
    <row r="459" ht="15.75" customHeight="1">
      <c r="F459" s="41"/>
    </row>
    <row r="460" ht="15.75" customHeight="1">
      <c r="F460" s="41"/>
    </row>
    <row r="461" ht="15.75" customHeight="1">
      <c r="F461" s="41"/>
    </row>
    <row r="462" ht="15.75" customHeight="1">
      <c r="F462" s="41"/>
    </row>
    <row r="463" ht="15.75" customHeight="1">
      <c r="F463" s="41"/>
    </row>
    <row r="464" ht="15.75" customHeight="1">
      <c r="F464" s="41"/>
    </row>
    <row r="465" ht="15.75" customHeight="1">
      <c r="F465" s="41"/>
    </row>
    <row r="466" ht="15.75" customHeight="1">
      <c r="F466" s="41"/>
    </row>
    <row r="467" ht="15.75" customHeight="1">
      <c r="F467" s="41"/>
    </row>
    <row r="468" ht="15.75" customHeight="1">
      <c r="F468" s="41"/>
    </row>
    <row r="469" ht="15.75" customHeight="1">
      <c r="F469" s="41"/>
    </row>
    <row r="470" ht="15.75" customHeight="1">
      <c r="F470" s="41"/>
    </row>
    <row r="471" ht="15.75" customHeight="1">
      <c r="F471" s="41"/>
    </row>
    <row r="472" ht="15.75" customHeight="1">
      <c r="F472" s="41"/>
    </row>
    <row r="473" ht="15.75" customHeight="1">
      <c r="F473" s="41"/>
    </row>
    <row r="474" ht="15.75" customHeight="1">
      <c r="F474" s="41"/>
    </row>
    <row r="475" ht="15.75" customHeight="1">
      <c r="F475" s="41"/>
    </row>
    <row r="476" ht="15.75" customHeight="1">
      <c r="F476" s="41"/>
    </row>
    <row r="477" ht="15.75" customHeight="1">
      <c r="F477" s="41"/>
    </row>
    <row r="478" ht="15.75" customHeight="1">
      <c r="F478" s="41"/>
    </row>
    <row r="479" ht="15.75" customHeight="1">
      <c r="F479" s="41"/>
    </row>
    <row r="480" ht="15.75" customHeight="1">
      <c r="F480" s="41"/>
    </row>
    <row r="481" ht="15.75" customHeight="1">
      <c r="F481" s="41"/>
    </row>
    <row r="482" ht="15.75" customHeight="1">
      <c r="F482" s="41"/>
    </row>
    <row r="483" ht="15.75" customHeight="1">
      <c r="F483" s="41"/>
    </row>
    <row r="484" ht="15.75" customHeight="1">
      <c r="F484" s="41"/>
    </row>
    <row r="485" ht="15.75" customHeight="1">
      <c r="F485" s="41"/>
    </row>
    <row r="486" ht="15.75" customHeight="1">
      <c r="F486" s="41"/>
    </row>
    <row r="487" ht="15.75" customHeight="1">
      <c r="F487" s="41"/>
    </row>
    <row r="488" ht="15.75" customHeight="1">
      <c r="F488" s="41"/>
    </row>
    <row r="489" ht="15.75" customHeight="1">
      <c r="F489" s="41"/>
    </row>
    <row r="490" ht="15.75" customHeight="1">
      <c r="F490" s="41"/>
    </row>
    <row r="491" ht="15.75" customHeight="1">
      <c r="F491" s="41"/>
    </row>
    <row r="492" ht="15.75" customHeight="1">
      <c r="F492" s="41"/>
    </row>
    <row r="493" ht="15.75" customHeight="1">
      <c r="F493" s="41"/>
    </row>
    <row r="494" ht="15.75" customHeight="1">
      <c r="F494" s="41"/>
    </row>
    <row r="495" ht="15.75" customHeight="1">
      <c r="F495" s="41"/>
    </row>
    <row r="496" ht="15.75" customHeight="1">
      <c r="F496" s="41"/>
    </row>
    <row r="497" ht="15.75" customHeight="1">
      <c r="F497" s="41"/>
    </row>
    <row r="498" ht="15.75" customHeight="1">
      <c r="F498" s="41"/>
    </row>
    <row r="499" ht="15.75" customHeight="1">
      <c r="F499" s="41"/>
    </row>
    <row r="500" ht="15.75" customHeight="1">
      <c r="F500" s="41"/>
    </row>
    <row r="501" ht="15.75" customHeight="1">
      <c r="F501" s="41"/>
    </row>
    <row r="502" ht="15.75" customHeight="1">
      <c r="F502" s="41"/>
    </row>
    <row r="503" ht="15.75" customHeight="1">
      <c r="F503" s="41"/>
    </row>
    <row r="504" ht="15.75" customHeight="1">
      <c r="F504" s="41"/>
    </row>
    <row r="505" ht="15.75" customHeight="1">
      <c r="F505" s="41"/>
    </row>
    <row r="506" ht="15.75" customHeight="1">
      <c r="F506" s="41"/>
    </row>
    <row r="507" ht="15.75" customHeight="1">
      <c r="F507" s="41"/>
    </row>
    <row r="508" ht="15.75" customHeight="1">
      <c r="F508" s="41"/>
    </row>
    <row r="509" ht="15.75" customHeight="1">
      <c r="F509" s="41"/>
    </row>
    <row r="510" ht="15.75" customHeight="1">
      <c r="F510" s="41"/>
    </row>
    <row r="511" ht="15.75" customHeight="1">
      <c r="F511" s="41"/>
    </row>
    <row r="512" ht="15.75" customHeight="1">
      <c r="F512" s="41"/>
    </row>
    <row r="513" ht="15.75" customHeight="1">
      <c r="F513" s="41"/>
    </row>
    <row r="514" ht="15.75" customHeight="1">
      <c r="F514" s="41"/>
    </row>
    <row r="515" ht="15.75" customHeight="1">
      <c r="F515" s="41"/>
    </row>
    <row r="516" ht="15.75" customHeight="1">
      <c r="F516" s="41"/>
    </row>
    <row r="517" ht="15.75" customHeight="1">
      <c r="F517" s="41"/>
    </row>
    <row r="518" ht="15.75" customHeight="1">
      <c r="F518" s="41"/>
    </row>
    <row r="519" ht="15.75" customHeight="1">
      <c r="F519" s="41"/>
    </row>
    <row r="520" ht="15.75" customHeight="1">
      <c r="F520" s="41"/>
    </row>
    <row r="521" ht="15.75" customHeight="1">
      <c r="F521" s="41"/>
    </row>
    <row r="522" ht="15.75" customHeight="1">
      <c r="F522" s="41"/>
    </row>
    <row r="523" ht="15.75" customHeight="1">
      <c r="F523" s="41"/>
    </row>
    <row r="524" ht="15.75" customHeight="1">
      <c r="F524" s="41"/>
    </row>
    <row r="525" ht="15.75" customHeight="1">
      <c r="F525" s="41"/>
    </row>
    <row r="526" ht="15.75" customHeight="1">
      <c r="F526" s="41"/>
    </row>
    <row r="527" ht="15.75" customHeight="1">
      <c r="F527" s="41"/>
    </row>
    <row r="528" ht="15.75" customHeight="1">
      <c r="F528" s="41"/>
    </row>
    <row r="529" ht="15.75" customHeight="1">
      <c r="F529" s="41"/>
    </row>
    <row r="530" ht="15.75" customHeight="1">
      <c r="F530" s="41"/>
    </row>
    <row r="531" ht="15.75" customHeight="1">
      <c r="F531" s="41"/>
    </row>
    <row r="532" ht="15.75" customHeight="1">
      <c r="F532" s="41"/>
    </row>
    <row r="533" ht="15.75" customHeight="1">
      <c r="F533" s="41"/>
    </row>
    <row r="534" ht="15.75" customHeight="1">
      <c r="F534" s="41"/>
    </row>
    <row r="535" ht="15.75" customHeight="1">
      <c r="F535" s="41"/>
    </row>
    <row r="536" ht="15.75" customHeight="1">
      <c r="F536" s="41"/>
    </row>
    <row r="537" ht="15.75" customHeight="1">
      <c r="F537" s="41"/>
    </row>
    <row r="538" ht="15.75" customHeight="1">
      <c r="F538" s="41"/>
    </row>
    <row r="539" ht="15.75" customHeight="1">
      <c r="F539" s="41"/>
    </row>
    <row r="540" ht="15.75" customHeight="1">
      <c r="F540" s="41"/>
    </row>
    <row r="541" ht="15.75" customHeight="1">
      <c r="F541" s="41"/>
    </row>
    <row r="542" ht="15.75" customHeight="1">
      <c r="F542" s="41"/>
    </row>
    <row r="543" ht="15.75" customHeight="1">
      <c r="F543" s="41"/>
    </row>
    <row r="544" ht="15.75" customHeight="1">
      <c r="F544" s="41"/>
    </row>
    <row r="545" ht="15.75" customHeight="1">
      <c r="F545" s="41"/>
    </row>
    <row r="546" ht="15.75" customHeight="1">
      <c r="F546" s="41"/>
    </row>
    <row r="547" ht="15.75" customHeight="1">
      <c r="F547" s="41"/>
    </row>
    <row r="548" ht="15.75" customHeight="1">
      <c r="F548" s="41"/>
    </row>
    <row r="549" ht="15.75" customHeight="1">
      <c r="F549" s="41"/>
    </row>
    <row r="550" ht="15.75" customHeight="1">
      <c r="F550" s="41"/>
    </row>
    <row r="551" ht="15.75" customHeight="1">
      <c r="F551" s="41"/>
    </row>
    <row r="552" ht="15.75" customHeight="1">
      <c r="F552" s="41"/>
    </row>
    <row r="553" ht="15.75" customHeight="1">
      <c r="F553" s="41"/>
    </row>
    <row r="554" ht="15.75" customHeight="1">
      <c r="F554" s="41"/>
    </row>
    <row r="555" ht="15.75" customHeight="1">
      <c r="F555" s="41"/>
    </row>
    <row r="556" ht="15.75" customHeight="1">
      <c r="F556" s="41"/>
    </row>
    <row r="557" ht="15.75" customHeight="1">
      <c r="F557" s="41"/>
    </row>
    <row r="558" ht="15.75" customHeight="1">
      <c r="F558" s="41"/>
    </row>
    <row r="559" ht="15.75" customHeight="1">
      <c r="F559" s="41"/>
    </row>
    <row r="560" ht="15.75" customHeight="1">
      <c r="F560" s="41"/>
    </row>
    <row r="561" ht="15.75" customHeight="1">
      <c r="F561" s="41"/>
    </row>
    <row r="562" ht="15.75" customHeight="1">
      <c r="F562" s="41"/>
    </row>
    <row r="563" ht="15.75" customHeight="1">
      <c r="F563" s="41"/>
    </row>
    <row r="564" ht="15.75" customHeight="1">
      <c r="F564" s="41"/>
    </row>
    <row r="565" ht="15.75" customHeight="1">
      <c r="F565" s="41"/>
    </row>
    <row r="566" ht="15.75" customHeight="1">
      <c r="F566" s="41"/>
    </row>
    <row r="567" ht="15.75" customHeight="1">
      <c r="F567" s="41"/>
    </row>
    <row r="568" ht="15.75" customHeight="1">
      <c r="F568" s="41"/>
    </row>
    <row r="569" ht="15.75" customHeight="1">
      <c r="F569" s="41"/>
    </row>
    <row r="570" ht="15.75" customHeight="1">
      <c r="F570" s="41"/>
    </row>
    <row r="571" ht="15.75" customHeight="1">
      <c r="F571" s="41"/>
    </row>
    <row r="572" ht="15.75" customHeight="1">
      <c r="F572" s="41"/>
    </row>
    <row r="573" ht="15.75" customHeight="1">
      <c r="F573" s="41"/>
    </row>
    <row r="574" ht="15.75" customHeight="1">
      <c r="F574" s="41"/>
    </row>
    <row r="575" ht="15.75" customHeight="1">
      <c r="F575" s="41"/>
    </row>
    <row r="576" ht="15.75" customHeight="1">
      <c r="F576" s="41"/>
    </row>
    <row r="577" ht="15.75" customHeight="1">
      <c r="F577" s="41"/>
    </row>
    <row r="578" ht="15.75" customHeight="1">
      <c r="F578" s="41"/>
    </row>
    <row r="579" ht="15.75" customHeight="1">
      <c r="F579" s="41"/>
    </row>
    <row r="580" ht="15.75" customHeight="1">
      <c r="F580" s="41"/>
    </row>
    <row r="581" ht="15.75" customHeight="1">
      <c r="F581" s="41"/>
    </row>
    <row r="582" ht="15.75" customHeight="1">
      <c r="F582" s="41"/>
    </row>
    <row r="583" ht="15.75" customHeight="1">
      <c r="F583" s="41"/>
    </row>
    <row r="584" ht="15.75" customHeight="1">
      <c r="F584" s="41"/>
    </row>
    <row r="585" ht="15.75" customHeight="1">
      <c r="F585" s="41"/>
    </row>
    <row r="586" ht="15.75" customHeight="1">
      <c r="F586" s="41"/>
    </row>
    <row r="587" ht="15.75" customHeight="1">
      <c r="F587" s="41"/>
    </row>
    <row r="588" ht="15.75" customHeight="1">
      <c r="F588" s="41"/>
    </row>
    <row r="589" ht="15.75" customHeight="1">
      <c r="F589" s="41"/>
    </row>
    <row r="590" ht="15.75" customHeight="1">
      <c r="F590" s="41"/>
    </row>
    <row r="591" ht="15.75" customHeight="1">
      <c r="F591" s="41"/>
    </row>
    <row r="592" ht="15.75" customHeight="1">
      <c r="F592" s="41"/>
    </row>
    <row r="593" ht="15.75" customHeight="1">
      <c r="F593" s="41"/>
    </row>
    <row r="594" ht="15.75" customHeight="1">
      <c r="F594" s="41"/>
    </row>
    <row r="595" ht="15.75" customHeight="1">
      <c r="F595" s="41"/>
    </row>
    <row r="596" ht="15.75" customHeight="1">
      <c r="F596" s="41"/>
    </row>
    <row r="597" ht="15.75" customHeight="1">
      <c r="F597" s="41"/>
    </row>
    <row r="598" ht="15.75" customHeight="1">
      <c r="F598" s="41"/>
    </row>
    <row r="599" ht="15.75" customHeight="1">
      <c r="F599" s="41"/>
    </row>
    <row r="600" ht="15.75" customHeight="1">
      <c r="F600" s="41"/>
    </row>
    <row r="601" ht="15.75" customHeight="1">
      <c r="F601" s="41"/>
    </row>
    <row r="602" ht="15.75" customHeight="1">
      <c r="F602" s="41"/>
    </row>
    <row r="603" ht="15.75" customHeight="1">
      <c r="F603" s="41"/>
    </row>
    <row r="604" ht="15.75" customHeight="1">
      <c r="F604" s="41"/>
    </row>
    <row r="605" ht="15.75" customHeight="1">
      <c r="F605" s="41"/>
    </row>
    <row r="606" ht="15.75" customHeight="1">
      <c r="F606" s="41"/>
    </row>
    <row r="607" ht="15.75" customHeight="1">
      <c r="F607" s="41"/>
    </row>
    <row r="608" ht="15.75" customHeight="1">
      <c r="F608" s="41"/>
    </row>
    <row r="609" ht="15.75" customHeight="1">
      <c r="F609" s="41"/>
    </row>
    <row r="610" ht="15.75" customHeight="1">
      <c r="F610" s="41"/>
    </row>
    <row r="611" ht="15.75" customHeight="1">
      <c r="F611" s="41"/>
    </row>
    <row r="612" ht="15.75" customHeight="1">
      <c r="F612" s="41"/>
    </row>
    <row r="613" ht="15.75" customHeight="1">
      <c r="F613" s="41"/>
    </row>
    <row r="614" ht="15.75" customHeight="1">
      <c r="F614" s="41"/>
    </row>
    <row r="615" ht="15.75" customHeight="1">
      <c r="F615" s="41"/>
    </row>
    <row r="616" ht="15.75" customHeight="1">
      <c r="F616" s="41"/>
    </row>
    <row r="617" ht="15.75" customHeight="1">
      <c r="F617" s="41"/>
    </row>
    <row r="618" ht="15.75" customHeight="1">
      <c r="F618" s="41"/>
    </row>
    <row r="619" ht="15.75" customHeight="1">
      <c r="F619" s="41"/>
    </row>
    <row r="620" ht="15.75" customHeight="1">
      <c r="F620" s="41"/>
    </row>
    <row r="621" ht="15.75" customHeight="1">
      <c r="F621" s="41"/>
    </row>
    <row r="622" ht="15.75" customHeight="1">
      <c r="F622" s="41"/>
    </row>
    <row r="623" ht="15.75" customHeight="1">
      <c r="F623" s="41"/>
    </row>
    <row r="624" ht="15.75" customHeight="1">
      <c r="F624" s="41"/>
    </row>
    <row r="625" ht="15.75" customHeight="1">
      <c r="F625" s="41"/>
    </row>
    <row r="626" ht="15.75" customHeight="1">
      <c r="F626" s="41"/>
    </row>
    <row r="627" ht="15.75" customHeight="1">
      <c r="F627" s="41"/>
    </row>
    <row r="628" ht="15.75" customHeight="1">
      <c r="F628" s="41"/>
    </row>
    <row r="629" ht="15.75" customHeight="1">
      <c r="F629" s="41"/>
    </row>
    <row r="630" ht="15.75" customHeight="1">
      <c r="F630" s="41"/>
    </row>
    <row r="631" ht="15.75" customHeight="1">
      <c r="F631" s="41"/>
    </row>
    <row r="632" ht="15.75" customHeight="1">
      <c r="F632" s="41"/>
    </row>
    <row r="633" ht="15.75" customHeight="1">
      <c r="F633" s="41"/>
    </row>
    <row r="634" ht="15.75" customHeight="1">
      <c r="F634" s="41"/>
    </row>
    <row r="635" ht="15.75" customHeight="1">
      <c r="F635" s="41"/>
    </row>
    <row r="636" ht="15.75" customHeight="1">
      <c r="F636" s="41"/>
    </row>
    <row r="637" ht="15.75" customHeight="1">
      <c r="F637" s="41"/>
    </row>
    <row r="638" ht="15.75" customHeight="1">
      <c r="F638" s="41"/>
    </row>
    <row r="639" ht="15.75" customHeight="1">
      <c r="F639" s="41"/>
    </row>
    <row r="640" ht="15.75" customHeight="1">
      <c r="F640" s="41"/>
    </row>
    <row r="641" ht="15.75" customHeight="1">
      <c r="F641" s="41"/>
    </row>
    <row r="642" ht="15.75" customHeight="1">
      <c r="F642" s="41"/>
    </row>
    <row r="643" ht="15.75" customHeight="1">
      <c r="F643" s="41"/>
    </row>
    <row r="644" ht="15.75" customHeight="1">
      <c r="F644" s="41"/>
    </row>
    <row r="645" ht="15.75" customHeight="1">
      <c r="F645" s="41"/>
    </row>
    <row r="646" ht="15.75" customHeight="1">
      <c r="F646" s="41"/>
    </row>
    <row r="647" ht="15.75" customHeight="1">
      <c r="F647" s="41"/>
    </row>
    <row r="648" ht="15.75" customHeight="1">
      <c r="F648" s="41"/>
    </row>
    <row r="649" ht="15.75" customHeight="1">
      <c r="F649" s="41"/>
    </row>
    <row r="650" ht="15.75" customHeight="1">
      <c r="F650" s="41"/>
    </row>
    <row r="651" ht="15.75" customHeight="1">
      <c r="F651" s="41"/>
    </row>
    <row r="652" ht="15.75" customHeight="1">
      <c r="F652" s="41"/>
    </row>
    <row r="653" ht="15.75" customHeight="1">
      <c r="F653" s="41"/>
    </row>
    <row r="654" ht="15.75" customHeight="1">
      <c r="F654" s="41"/>
    </row>
    <row r="655" ht="15.75" customHeight="1">
      <c r="F655" s="41"/>
    </row>
    <row r="656" ht="15.75" customHeight="1">
      <c r="F656" s="41"/>
    </row>
    <row r="657" ht="15.75" customHeight="1">
      <c r="F657" s="41"/>
    </row>
    <row r="658" ht="15.75" customHeight="1">
      <c r="F658" s="41"/>
    </row>
    <row r="659" ht="15.75" customHeight="1">
      <c r="F659" s="41"/>
    </row>
    <row r="660" ht="15.75" customHeight="1">
      <c r="F660" s="41"/>
    </row>
    <row r="661" ht="15.75" customHeight="1">
      <c r="F661" s="41"/>
    </row>
    <row r="662" ht="15.75" customHeight="1">
      <c r="F662" s="41"/>
    </row>
    <row r="663" ht="15.75" customHeight="1">
      <c r="F663" s="41"/>
    </row>
    <row r="664" ht="15.75" customHeight="1">
      <c r="F664" s="41"/>
    </row>
    <row r="665" ht="15.75" customHeight="1">
      <c r="F665" s="41"/>
    </row>
    <row r="666" ht="15.75" customHeight="1">
      <c r="F666" s="41"/>
    </row>
    <row r="667" ht="15.75" customHeight="1">
      <c r="F667" s="41"/>
    </row>
    <row r="668" ht="15.75" customHeight="1">
      <c r="F668" s="41"/>
    </row>
    <row r="669" ht="15.75" customHeight="1">
      <c r="F669" s="41"/>
    </row>
    <row r="670" ht="15.75" customHeight="1">
      <c r="F670" s="41"/>
    </row>
    <row r="671" ht="15.75" customHeight="1">
      <c r="F671" s="41"/>
    </row>
    <row r="672" ht="15.75" customHeight="1">
      <c r="F672" s="41"/>
    </row>
    <row r="673" ht="15.75" customHeight="1">
      <c r="F673" s="41"/>
    </row>
    <row r="674" ht="15.75" customHeight="1">
      <c r="F674" s="41"/>
    </row>
    <row r="675" ht="15.75" customHeight="1">
      <c r="F675" s="41"/>
    </row>
    <row r="676" ht="15.75" customHeight="1">
      <c r="F676" s="41"/>
    </row>
    <row r="677" ht="15.75" customHeight="1">
      <c r="F677" s="41"/>
    </row>
    <row r="678" ht="15.75" customHeight="1">
      <c r="F678" s="41"/>
    </row>
    <row r="679" ht="15.75" customHeight="1">
      <c r="F679" s="41"/>
    </row>
    <row r="680" ht="15.75" customHeight="1">
      <c r="F680" s="41"/>
    </row>
    <row r="681" ht="15.75" customHeight="1">
      <c r="F681" s="41"/>
    </row>
    <row r="682" ht="15.75" customHeight="1">
      <c r="F682" s="41"/>
    </row>
    <row r="683" ht="15.75" customHeight="1">
      <c r="F683" s="41"/>
    </row>
    <row r="684" ht="15.75" customHeight="1">
      <c r="F684" s="41"/>
    </row>
    <row r="685" ht="15.75" customHeight="1">
      <c r="F685" s="41"/>
    </row>
    <row r="686" ht="15.75" customHeight="1">
      <c r="F686" s="41"/>
    </row>
    <row r="687" ht="15.75" customHeight="1">
      <c r="F687" s="41"/>
    </row>
    <row r="688" ht="15.75" customHeight="1">
      <c r="F688" s="41"/>
    </row>
    <row r="689" ht="15.75" customHeight="1">
      <c r="F689" s="41"/>
    </row>
    <row r="690" ht="15.75" customHeight="1">
      <c r="F690" s="41"/>
    </row>
    <row r="691" ht="15.75" customHeight="1">
      <c r="F691" s="41"/>
    </row>
    <row r="692" ht="15.75" customHeight="1">
      <c r="F692" s="41"/>
    </row>
    <row r="693" ht="15.75" customHeight="1">
      <c r="F693" s="41"/>
    </row>
    <row r="694" ht="15.75" customHeight="1">
      <c r="F694" s="41"/>
    </row>
    <row r="695" ht="15.75" customHeight="1">
      <c r="F695" s="41"/>
    </row>
    <row r="696" ht="15.75" customHeight="1">
      <c r="F696" s="41"/>
    </row>
    <row r="697" ht="15.75" customHeight="1">
      <c r="F697" s="41"/>
    </row>
    <row r="698" ht="15.75" customHeight="1">
      <c r="F698" s="41"/>
    </row>
    <row r="699" ht="15.75" customHeight="1">
      <c r="F699" s="41"/>
    </row>
    <row r="700" ht="15.75" customHeight="1">
      <c r="F700" s="41"/>
    </row>
    <row r="701" ht="15.75" customHeight="1">
      <c r="F701" s="41"/>
    </row>
    <row r="702" ht="15.75" customHeight="1">
      <c r="F702" s="41"/>
    </row>
    <row r="703" ht="15.75" customHeight="1">
      <c r="F703" s="41"/>
    </row>
    <row r="704" ht="15.75" customHeight="1">
      <c r="F704" s="41"/>
    </row>
    <row r="705" ht="15.75" customHeight="1">
      <c r="F705" s="41"/>
    </row>
    <row r="706" ht="15.75" customHeight="1">
      <c r="F706" s="41"/>
    </row>
    <row r="707" ht="15.75" customHeight="1">
      <c r="F707" s="41"/>
    </row>
    <row r="708" ht="15.75" customHeight="1">
      <c r="F708" s="41"/>
    </row>
    <row r="709" ht="15.75" customHeight="1">
      <c r="F709" s="41"/>
    </row>
    <row r="710" ht="15.75" customHeight="1">
      <c r="F710" s="41"/>
    </row>
    <row r="711" ht="15.75" customHeight="1">
      <c r="F711" s="41"/>
    </row>
    <row r="712" ht="15.75" customHeight="1">
      <c r="F712" s="41"/>
    </row>
    <row r="713" ht="15.75" customHeight="1">
      <c r="F713" s="41"/>
    </row>
    <row r="714" ht="15.75" customHeight="1">
      <c r="F714" s="41"/>
    </row>
    <row r="715" ht="15.75" customHeight="1">
      <c r="F715" s="41"/>
    </row>
    <row r="716" ht="15.75" customHeight="1">
      <c r="F716" s="41"/>
    </row>
    <row r="717" ht="15.75" customHeight="1">
      <c r="F717" s="41"/>
    </row>
    <row r="718" ht="15.75" customHeight="1">
      <c r="F718" s="41"/>
    </row>
    <row r="719" ht="15.75" customHeight="1">
      <c r="F719" s="41"/>
    </row>
    <row r="720" ht="15.75" customHeight="1">
      <c r="F720" s="41"/>
    </row>
    <row r="721" ht="15.75" customHeight="1">
      <c r="F721" s="41"/>
    </row>
    <row r="722" ht="15.75" customHeight="1">
      <c r="F722" s="41"/>
    </row>
    <row r="723" ht="15.75" customHeight="1">
      <c r="F723" s="41"/>
    </row>
    <row r="724" ht="15.75" customHeight="1">
      <c r="F724" s="41"/>
    </row>
    <row r="725" ht="15.75" customHeight="1">
      <c r="F725" s="41"/>
    </row>
    <row r="726" ht="15.75" customHeight="1">
      <c r="F726" s="41"/>
    </row>
    <row r="727" ht="15.75" customHeight="1">
      <c r="F727" s="41"/>
    </row>
    <row r="728" ht="15.75" customHeight="1">
      <c r="F728" s="41"/>
    </row>
    <row r="729" ht="15.75" customHeight="1">
      <c r="F729" s="41"/>
    </row>
    <row r="730" ht="15.75" customHeight="1">
      <c r="F730" s="41"/>
    </row>
    <row r="731" ht="15.75" customHeight="1">
      <c r="F731" s="41"/>
    </row>
    <row r="732" ht="15.75" customHeight="1">
      <c r="F732" s="41"/>
    </row>
    <row r="733" ht="15.75" customHeight="1">
      <c r="F733" s="41"/>
    </row>
    <row r="734" ht="15.75" customHeight="1">
      <c r="F734" s="41"/>
    </row>
    <row r="735" ht="15.75" customHeight="1">
      <c r="F735" s="41"/>
    </row>
    <row r="736" ht="15.75" customHeight="1">
      <c r="F736" s="41"/>
    </row>
    <row r="737" ht="15.75" customHeight="1">
      <c r="F737" s="41"/>
    </row>
    <row r="738" ht="15.75" customHeight="1">
      <c r="F738" s="41"/>
    </row>
    <row r="739" ht="15.75" customHeight="1">
      <c r="F739" s="41"/>
    </row>
    <row r="740" ht="15.75" customHeight="1">
      <c r="F740" s="41"/>
    </row>
    <row r="741" ht="15.75" customHeight="1">
      <c r="F741" s="41"/>
    </row>
    <row r="742" ht="15.75" customHeight="1">
      <c r="F742" s="41"/>
    </row>
    <row r="743" ht="15.75" customHeight="1">
      <c r="F743" s="41"/>
    </row>
    <row r="744" ht="15.75" customHeight="1">
      <c r="F744" s="41"/>
    </row>
    <row r="745" ht="15.75" customHeight="1">
      <c r="F745" s="41"/>
    </row>
    <row r="746" ht="15.75" customHeight="1">
      <c r="F746" s="41"/>
    </row>
    <row r="747" ht="15.75" customHeight="1">
      <c r="F747" s="41"/>
    </row>
    <row r="748" ht="15.75" customHeight="1">
      <c r="F748" s="41"/>
    </row>
    <row r="749" ht="15.75" customHeight="1">
      <c r="F749" s="41"/>
    </row>
    <row r="750" ht="15.75" customHeight="1">
      <c r="F750" s="41"/>
    </row>
    <row r="751" ht="15.75" customHeight="1">
      <c r="F751" s="41"/>
    </row>
    <row r="752" ht="15.75" customHeight="1">
      <c r="F752" s="41"/>
    </row>
    <row r="753" ht="15.75" customHeight="1">
      <c r="F753" s="41"/>
    </row>
    <row r="754" ht="15.75" customHeight="1">
      <c r="F754" s="41"/>
    </row>
    <row r="755" ht="15.75" customHeight="1">
      <c r="F755" s="41"/>
    </row>
    <row r="756" ht="15.75" customHeight="1">
      <c r="F756" s="41"/>
    </row>
    <row r="757" ht="15.75" customHeight="1">
      <c r="F757" s="41"/>
    </row>
    <row r="758" ht="15.75" customHeight="1">
      <c r="F758" s="41"/>
    </row>
    <row r="759" ht="15.75" customHeight="1">
      <c r="F759" s="41"/>
    </row>
    <row r="760" ht="15.75" customHeight="1">
      <c r="F760" s="41"/>
    </row>
    <row r="761" ht="15.75" customHeight="1">
      <c r="F761" s="41"/>
    </row>
    <row r="762" ht="15.75" customHeight="1">
      <c r="F762" s="41"/>
    </row>
    <row r="763" ht="15.75" customHeight="1">
      <c r="F763" s="41"/>
    </row>
    <row r="764" ht="15.75" customHeight="1">
      <c r="F764" s="41"/>
    </row>
    <row r="765" ht="15.75" customHeight="1">
      <c r="F765" s="41"/>
    </row>
    <row r="766" ht="15.75" customHeight="1">
      <c r="F766" s="41"/>
    </row>
    <row r="767" ht="15.75" customHeight="1">
      <c r="F767" s="41"/>
    </row>
    <row r="768" ht="15.75" customHeight="1">
      <c r="F768" s="41"/>
    </row>
    <row r="769" ht="15.75" customHeight="1">
      <c r="F769" s="41"/>
    </row>
    <row r="770" ht="15.75" customHeight="1">
      <c r="F770" s="41"/>
    </row>
    <row r="771" ht="15.75" customHeight="1">
      <c r="F771" s="41"/>
    </row>
    <row r="772" ht="15.75" customHeight="1">
      <c r="F772" s="41"/>
    </row>
    <row r="773" ht="15.75" customHeight="1">
      <c r="F773" s="41"/>
    </row>
    <row r="774" ht="15.75" customHeight="1">
      <c r="F774" s="41"/>
    </row>
    <row r="775" ht="15.75" customHeight="1">
      <c r="F775" s="41"/>
    </row>
    <row r="776" ht="15.75" customHeight="1">
      <c r="F776" s="41"/>
    </row>
    <row r="777" ht="15.75" customHeight="1">
      <c r="F777" s="41"/>
    </row>
    <row r="778" ht="15.75" customHeight="1">
      <c r="F778" s="41"/>
    </row>
    <row r="779" ht="15.75" customHeight="1">
      <c r="F779" s="41"/>
    </row>
    <row r="780" ht="15.75" customHeight="1">
      <c r="F780" s="41"/>
    </row>
    <row r="781" ht="15.75" customHeight="1">
      <c r="F781" s="41"/>
    </row>
    <row r="782" ht="15.75" customHeight="1">
      <c r="F782" s="41"/>
    </row>
    <row r="783" ht="15.75" customHeight="1">
      <c r="F783" s="41"/>
    </row>
    <row r="784" ht="15.75" customHeight="1">
      <c r="F784" s="41"/>
    </row>
    <row r="785" ht="15.75" customHeight="1">
      <c r="F785" s="41"/>
    </row>
    <row r="786" ht="15.75" customHeight="1">
      <c r="F786" s="41"/>
    </row>
    <row r="787" ht="15.75" customHeight="1">
      <c r="F787" s="41"/>
    </row>
    <row r="788" ht="15.75" customHeight="1">
      <c r="F788" s="41"/>
    </row>
    <row r="789" ht="15.75" customHeight="1">
      <c r="F789" s="41"/>
    </row>
    <row r="790" ht="15.75" customHeight="1">
      <c r="F790" s="41"/>
    </row>
    <row r="791" ht="15.75" customHeight="1">
      <c r="F791" s="41"/>
    </row>
    <row r="792" ht="15.75" customHeight="1">
      <c r="F792" s="41"/>
    </row>
    <row r="793" ht="15.75" customHeight="1">
      <c r="F793" s="41"/>
    </row>
    <row r="794" ht="15.75" customHeight="1">
      <c r="F794" s="41"/>
    </row>
    <row r="795" ht="15.75" customHeight="1">
      <c r="F795" s="41"/>
    </row>
    <row r="796" ht="15.75" customHeight="1">
      <c r="F796" s="41"/>
    </row>
    <row r="797" ht="15.75" customHeight="1">
      <c r="F797" s="41"/>
    </row>
    <row r="798" ht="15.75" customHeight="1">
      <c r="F798" s="41"/>
    </row>
    <row r="799" ht="15.75" customHeight="1">
      <c r="F799" s="41"/>
    </row>
    <row r="800" ht="15.75" customHeight="1">
      <c r="F800" s="41"/>
    </row>
    <row r="801" ht="15.75" customHeight="1">
      <c r="F801" s="41"/>
    </row>
    <row r="802" ht="15.75" customHeight="1">
      <c r="F802" s="41"/>
    </row>
    <row r="803" ht="15.75" customHeight="1">
      <c r="F803" s="41"/>
    </row>
    <row r="804" ht="15.75" customHeight="1">
      <c r="F804" s="41"/>
    </row>
    <row r="805" ht="15.75" customHeight="1">
      <c r="F805" s="41"/>
    </row>
    <row r="806" ht="15.75" customHeight="1">
      <c r="F806" s="41"/>
    </row>
    <row r="807" ht="15.75" customHeight="1">
      <c r="F807" s="41"/>
    </row>
    <row r="808" ht="15.75" customHeight="1">
      <c r="F808" s="41"/>
    </row>
    <row r="809" ht="15.75" customHeight="1">
      <c r="F809" s="41"/>
    </row>
    <row r="810" ht="15.75" customHeight="1">
      <c r="F810" s="41"/>
    </row>
    <row r="811" ht="15.75" customHeight="1">
      <c r="F811" s="41"/>
    </row>
    <row r="812" ht="15.75" customHeight="1">
      <c r="F812" s="41"/>
    </row>
    <row r="813" ht="15.75" customHeight="1">
      <c r="F813" s="41"/>
    </row>
    <row r="814" ht="15.75" customHeight="1">
      <c r="F814" s="41"/>
    </row>
    <row r="815" ht="15.75" customHeight="1">
      <c r="F815" s="41"/>
    </row>
    <row r="816" ht="15.75" customHeight="1">
      <c r="F816" s="41"/>
    </row>
    <row r="817" ht="15.75" customHeight="1">
      <c r="F817" s="41"/>
    </row>
    <row r="818" ht="15.75" customHeight="1">
      <c r="F818" s="41"/>
    </row>
    <row r="819" ht="15.75" customHeight="1">
      <c r="F819" s="41"/>
    </row>
    <row r="820" ht="15.75" customHeight="1">
      <c r="F820" s="41"/>
    </row>
    <row r="821" ht="15.75" customHeight="1">
      <c r="F821" s="41"/>
    </row>
    <row r="822" ht="15.75" customHeight="1">
      <c r="F822" s="41"/>
    </row>
    <row r="823" ht="15.75" customHeight="1">
      <c r="F823" s="41"/>
    </row>
    <row r="824" ht="15.75" customHeight="1">
      <c r="F824" s="41"/>
    </row>
    <row r="825" ht="15.75" customHeight="1">
      <c r="F825" s="41"/>
    </row>
    <row r="826" ht="15.75" customHeight="1">
      <c r="F826" s="41"/>
    </row>
    <row r="827" ht="15.75" customHeight="1">
      <c r="F827" s="41"/>
    </row>
    <row r="828" ht="15.75" customHeight="1">
      <c r="F828" s="41"/>
    </row>
    <row r="829" ht="15.75" customHeight="1">
      <c r="F829" s="41"/>
    </row>
    <row r="830" ht="15.75" customHeight="1">
      <c r="F830" s="41"/>
    </row>
    <row r="831" ht="15.75" customHeight="1">
      <c r="F831" s="41"/>
    </row>
    <row r="832" ht="15.75" customHeight="1">
      <c r="F832" s="41"/>
    </row>
    <row r="833" ht="15.75" customHeight="1">
      <c r="F833" s="41"/>
    </row>
    <row r="834" ht="15.75" customHeight="1">
      <c r="F834" s="41"/>
    </row>
    <row r="835" ht="15.75" customHeight="1">
      <c r="F835" s="41"/>
    </row>
    <row r="836" ht="15.75" customHeight="1">
      <c r="F836" s="41"/>
    </row>
    <row r="837" ht="15.75" customHeight="1">
      <c r="F837" s="41"/>
    </row>
    <row r="838" ht="15.75" customHeight="1">
      <c r="F838" s="41"/>
    </row>
    <row r="839" ht="15.75" customHeight="1">
      <c r="F839" s="41"/>
    </row>
    <row r="840" ht="15.75" customHeight="1">
      <c r="F840" s="41"/>
    </row>
    <row r="841" ht="15.75" customHeight="1">
      <c r="F841" s="41"/>
    </row>
    <row r="842" ht="15.75" customHeight="1">
      <c r="F842" s="41"/>
    </row>
    <row r="843" ht="15.75" customHeight="1">
      <c r="F843" s="41"/>
    </row>
    <row r="844" ht="15.75" customHeight="1">
      <c r="F844" s="41"/>
    </row>
    <row r="845" ht="15.75" customHeight="1">
      <c r="F845" s="41"/>
    </row>
    <row r="846" ht="15.75" customHeight="1">
      <c r="F846" s="41"/>
    </row>
    <row r="847" ht="15.75" customHeight="1">
      <c r="F847" s="41"/>
    </row>
    <row r="848" ht="15.75" customHeight="1">
      <c r="F848" s="41"/>
    </row>
    <row r="849" ht="15.75" customHeight="1">
      <c r="F849" s="41"/>
    </row>
    <row r="850" ht="15.75" customHeight="1">
      <c r="F850" s="41"/>
    </row>
    <row r="851" ht="15.75" customHeight="1">
      <c r="F851" s="41"/>
    </row>
    <row r="852" ht="15.75" customHeight="1">
      <c r="F852" s="41"/>
    </row>
    <row r="853" ht="15.75" customHeight="1">
      <c r="F853" s="41"/>
    </row>
    <row r="854" ht="15.75" customHeight="1">
      <c r="F854" s="41"/>
    </row>
    <row r="855" ht="15.75" customHeight="1">
      <c r="F855" s="41"/>
    </row>
    <row r="856" ht="15.75" customHeight="1">
      <c r="F856" s="41"/>
    </row>
    <row r="857" ht="15.75" customHeight="1">
      <c r="F857" s="41"/>
    </row>
    <row r="858" ht="15.75" customHeight="1">
      <c r="F858" s="41"/>
    </row>
    <row r="859" ht="15.75" customHeight="1">
      <c r="F859" s="41"/>
    </row>
    <row r="860" ht="15.75" customHeight="1">
      <c r="F860" s="41"/>
    </row>
    <row r="861" ht="15.75" customHeight="1">
      <c r="F861" s="41"/>
    </row>
    <row r="862" ht="15.75" customHeight="1">
      <c r="F862" s="41"/>
    </row>
    <row r="863" ht="15.75" customHeight="1">
      <c r="F863" s="41"/>
    </row>
    <row r="864" ht="15.75" customHeight="1">
      <c r="F864" s="41"/>
    </row>
    <row r="865" ht="15.75" customHeight="1">
      <c r="F865" s="41"/>
    </row>
    <row r="866" ht="15.75" customHeight="1">
      <c r="F866" s="41"/>
    </row>
    <row r="867" ht="15.75" customHeight="1">
      <c r="F867" s="41"/>
    </row>
    <row r="868" ht="15.75" customHeight="1">
      <c r="F868" s="41"/>
    </row>
    <row r="869" ht="15.75" customHeight="1">
      <c r="F869" s="41"/>
    </row>
    <row r="870" ht="15.75" customHeight="1">
      <c r="F870" s="41"/>
    </row>
    <row r="871" ht="15.75" customHeight="1">
      <c r="F871" s="41"/>
    </row>
    <row r="872" ht="15.75" customHeight="1">
      <c r="F872" s="41"/>
    </row>
    <row r="873" ht="15.75" customHeight="1">
      <c r="F873" s="41"/>
    </row>
    <row r="874" ht="15.75" customHeight="1">
      <c r="F874" s="41"/>
    </row>
    <row r="875" ht="15.75" customHeight="1">
      <c r="F875" s="41"/>
    </row>
    <row r="876" ht="15.75" customHeight="1">
      <c r="F876" s="41"/>
    </row>
    <row r="877" ht="15.75" customHeight="1">
      <c r="F877" s="41"/>
    </row>
    <row r="878" ht="15.75" customHeight="1">
      <c r="F878" s="41"/>
    </row>
    <row r="879" ht="15.75" customHeight="1">
      <c r="F879" s="41"/>
    </row>
    <row r="880" ht="15.75" customHeight="1">
      <c r="F880" s="41"/>
    </row>
    <row r="881" ht="15.75" customHeight="1">
      <c r="F881" s="41"/>
    </row>
    <row r="882" ht="15.75" customHeight="1">
      <c r="F882" s="41"/>
    </row>
    <row r="883" ht="15.75" customHeight="1">
      <c r="F883" s="41"/>
    </row>
    <row r="884" ht="15.75" customHeight="1">
      <c r="F884" s="41"/>
    </row>
    <row r="885" ht="15.75" customHeight="1">
      <c r="F885" s="41"/>
    </row>
    <row r="886" ht="15.75" customHeight="1">
      <c r="F886" s="41"/>
    </row>
    <row r="887" ht="15.75" customHeight="1">
      <c r="F887" s="41"/>
    </row>
    <row r="888" ht="15.75" customHeight="1">
      <c r="F888" s="41"/>
    </row>
    <row r="889" ht="15.75" customHeight="1">
      <c r="F889" s="41"/>
    </row>
    <row r="890" ht="15.75" customHeight="1">
      <c r="F890" s="41"/>
    </row>
    <row r="891" ht="15.75" customHeight="1">
      <c r="F891" s="41"/>
    </row>
    <row r="892" ht="15.75" customHeight="1">
      <c r="F892" s="41"/>
    </row>
    <row r="893" ht="15.75" customHeight="1">
      <c r="F893" s="41"/>
    </row>
    <row r="894" ht="15.75" customHeight="1">
      <c r="F894" s="41"/>
    </row>
    <row r="895" ht="15.75" customHeight="1">
      <c r="F895" s="41"/>
    </row>
    <row r="896" ht="15.75" customHeight="1">
      <c r="F896" s="41"/>
    </row>
    <row r="897" ht="15.75" customHeight="1">
      <c r="F897" s="41"/>
    </row>
    <row r="898" ht="15.75" customHeight="1">
      <c r="F898" s="41"/>
    </row>
    <row r="899" ht="15.75" customHeight="1">
      <c r="F899" s="41"/>
    </row>
    <row r="900" ht="15.75" customHeight="1">
      <c r="F900" s="41"/>
    </row>
    <row r="901" ht="15.75" customHeight="1">
      <c r="F901" s="41"/>
    </row>
    <row r="902" ht="15.75" customHeight="1">
      <c r="F902" s="41"/>
    </row>
    <row r="903" ht="15.75" customHeight="1">
      <c r="F903" s="41"/>
    </row>
    <row r="904" ht="15.75" customHeight="1">
      <c r="F904" s="41"/>
    </row>
    <row r="905" ht="15.75" customHeight="1">
      <c r="F905" s="41"/>
    </row>
    <row r="906" ht="15.75" customHeight="1">
      <c r="F906" s="41"/>
    </row>
    <row r="907" ht="15.75" customHeight="1">
      <c r="F907" s="41"/>
    </row>
    <row r="908" ht="15.75" customHeight="1">
      <c r="F908" s="41"/>
    </row>
    <row r="909" ht="15.75" customHeight="1">
      <c r="F909" s="41"/>
    </row>
    <row r="910" ht="15.75" customHeight="1">
      <c r="F910" s="41"/>
    </row>
    <row r="911" ht="15.75" customHeight="1">
      <c r="F911" s="41"/>
    </row>
    <row r="912" ht="15.75" customHeight="1">
      <c r="F912" s="41"/>
    </row>
    <row r="913" ht="15.75" customHeight="1">
      <c r="F913" s="41"/>
    </row>
    <row r="914" ht="15.75" customHeight="1">
      <c r="F914" s="41"/>
    </row>
    <row r="915" ht="15.75" customHeight="1">
      <c r="F915" s="41"/>
    </row>
    <row r="916" ht="15.75" customHeight="1">
      <c r="F916" s="41"/>
    </row>
    <row r="917" ht="15.75" customHeight="1">
      <c r="F917" s="41"/>
    </row>
    <row r="918" ht="15.75" customHeight="1">
      <c r="F918" s="41"/>
    </row>
    <row r="919" ht="15.75" customHeight="1">
      <c r="F919" s="41"/>
    </row>
    <row r="920" ht="15.75" customHeight="1">
      <c r="F920" s="41"/>
    </row>
    <row r="921" ht="15.75" customHeight="1">
      <c r="F921" s="41"/>
    </row>
    <row r="922" ht="15.75" customHeight="1">
      <c r="F922" s="41"/>
    </row>
    <row r="923" ht="15.75" customHeight="1">
      <c r="F923" s="41"/>
    </row>
    <row r="924" ht="15.75" customHeight="1">
      <c r="F924" s="41"/>
    </row>
    <row r="925" ht="15.75" customHeight="1">
      <c r="F925" s="41"/>
    </row>
    <row r="926" ht="15.75" customHeight="1">
      <c r="F926" s="41"/>
    </row>
    <row r="927" ht="15.75" customHeight="1">
      <c r="F927" s="41"/>
    </row>
    <row r="928" ht="15.75" customHeight="1">
      <c r="F928" s="41"/>
    </row>
    <row r="929" ht="15.75" customHeight="1">
      <c r="F929" s="41"/>
    </row>
    <row r="930" ht="15.75" customHeight="1">
      <c r="F930" s="41"/>
    </row>
    <row r="931" ht="15.75" customHeight="1">
      <c r="F931" s="41"/>
    </row>
    <row r="932" ht="15.75" customHeight="1">
      <c r="F932" s="41"/>
    </row>
    <row r="933" ht="15.75" customHeight="1">
      <c r="F933" s="41"/>
    </row>
    <row r="934" ht="15.75" customHeight="1">
      <c r="F934" s="41"/>
    </row>
    <row r="935" ht="15.75" customHeight="1">
      <c r="F935" s="41"/>
    </row>
    <row r="936" ht="15.75" customHeight="1">
      <c r="F936" s="41"/>
    </row>
    <row r="937" ht="15.75" customHeight="1">
      <c r="F937" s="41"/>
    </row>
    <row r="938" ht="15.75" customHeight="1">
      <c r="F938" s="41"/>
    </row>
    <row r="939" ht="15.75" customHeight="1">
      <c r="F939" s="41"/>
    </row>
    <row r="940" ht="15.75" customHeight="1">
      <c r="F940" s="41"/>
    </row>
    <row r="941" ht="15.75" customHeight="1">
      <c r="F941" s="41"/>
    </row>
    <row r="942" ht="15.75" customHeight="1">
      <c r="F942" s="41"/>
    </row>
    <row r="943" ht="15.75" customHeight="1">
      <c r="F943" s="41"/>
    </row>
    <row r="944" ht="15.75" customHeight="1">
      <c r="F944" s="41"/>
    </row>
    <row r="945" ht="15.75" customHeight="1">
      <c r="F945" s="41"/>
    </row>
    <row r="946" ht="15.75" customHeight="1">
      <c r="F946" s="41"/>
    </row>
    <row r="947" ht="15.75" customHeight="1">
      <c r="F947" s="41"/>
    </row>
    <row r="948" ht="15.75" customHeight="1">
      <c r="F948" s="41"/>
    </row>
    <row r="949" ht="15.75" customHeight="1">
      <c r="F949" s="41"/>
    </row>
    <row r="950" ht="15.75" customHeight="1">
      <c r="F950" s="41"/>
    </row>
    <row r="951" ht="15.75" customHeight="1">
      <c r="F951" s="41"/>
    </row>
    <row r="952" ht="15.75" customHeight="1">
      <c r="F952" s="41"/>
    </row>
    <row r="953" ht="15.75" customHeight="1">
      <c r="F953" s="41"/>
    </row>
    <row r="954" ht="15.75" customHeight="1">
      <c r="F954" s="41"/>
    </row>
    <row r="955" ht="15.75" customHeight="1">
      <c r="F955" s="41"/>
    </row>
    <row r="956" ht="15.75" customHeight="1">
      <c r="F956" s="41"/>
    </row>
    <row r="957" ht="15.75" customHeight="1">
      <c r="F957" s="41"/>
    </row>
    <row r="958" ht="15.75" customHeight="1">
      <c r="F958" s="41"/>
    </row>
    <row r="959" ht="15.75" customHeight="1">
      <c r="F959" s="41"/>
    </row>
    <row r="960" ht="15.75" customHeight="1">
      <c r="F960" s="41"/>
    </row>
    <row r="961" ht="15.75" customHeight="1">
      <c r="F961" s="41"/>
    </row>
    <row r="962" ht="15.75" customHeight="1">
      <c r="F962" s="41"/>
    </row>
    <row r="963" ht="15.75" customHeight="1">
      <c r="F963" s="41"/>
    </row>
    <row r="964" ht="15.75" customHeight="1">
      <c r="F964" s="41"/>
    </row>
    <row r="965" ht="15.75" customHeight="1">
      <c r="F965" s="41"/>
    </row>
    <row r="966" ht="15.75" customHeight="1">
      <c r="F966" s="41"/>
    </row>
    <row r="967" ht="15.75" customHeight="1">
      <c r="F967" s="41"/>
    </row>
    <row r="968" ht="15.75" customHeight="1">
      <c r="F968" s="41"/>
    </row>
    <row r="969" ht="15.75" customHeight="1">
      <c r="F969" s="41"/>
    </row>
    <row r="970" ht="15.75" customHeight="1">
      <c r="F970" s="41"/>
    </row>
    <row r="971" ht="15.75" customHeight="1">
      <c r="F971" s="41"/>
    </row>
    <row r="972" ht="15.75" customHeight="1">
      <c r="F972" s="41"/>
    </row>
    <row r="973" ht="15.75" customHeight="1">
      <c r="F973" s="41"/>
    </row>
    <row r="974" ht="15.75" customHeight="1">
      <c r="F974" s="41"/>
    </row>
    <row r="975" ht="15.75" customHeight="1">
      <c r="F975" s="41"/>
    </row>
    <row r="976" ht="15.75" customHeight="1">
      <c r="F976" s="41"/>
    </row>
    <row r="977" ht="15.75" customHeight="1">
      <c r="F977" s="41"/>
    </row>
    <row r="978" ht="15.75" customHeight="1">
      <c r="F978" s="41"/>
    </row>
    <row r="979" ht="15.75" customHeight="1">
      <c r="F979" s="41"/>
    </row>
    <row r="980" ht="15.75" customHeight="1">
      <c r="F980" s="41"/>
    </row>
    <row r="981" ht="15.75" customHeight="1">
      <c r="F981" s="41"/>
    </row>
    <row r="982" ht="15.75" customHeight="1">
      <c r="F982" s="41"/>
    </row>
    <row r="983" ht="15.75" customHeight="1">
      <c r="F983" s="41"/>
    </row>
    <row r="984" ht="15.75" customHeight="1">
      <c r="F984" s="41"/>
    </row>
    <row r="985" ht="15.75" customHeight="1">
      <c r="F985" s="41"/>
    </row>
    <row r="986" ht="15.75" customHeight="1">
      <c r="F986" s="41"/>
    </row>
    <row r="987" ht="15.75" customHeight="1">
      <c r="F987" s="41"/>
    </row>
    <row r="988" ht="15.75" customHeight="1">
      <c r="F988" s="41"/>
    </row>
    <row r="989" ht="15.75" customHeight="1">
      <c r="F989" s="41"/>
    </row>
    <row r="990" ht="15.75" customHeight="1">
      <c r="F990" s="41"/>
    </row>
    <row r="991" ht="15.75" customHeight="1">
      <c r="F991" s="41"/>
    </row>
    <row r="992" ht="15.75" customHeight="1">
      <c r="F992" s="41"/>
    </row>
    <row r="993" ht="15.75" customHeight="1">
      <c r="F993" s="41"/>
    </row>
    <row r="994" ht="15.75" customHeight="1">
      <c r="F994" s="41"/>
    </row>
    <row r="995" ht="15.75" customHeight="1">
      <c r="F995" s="41"/>
    </row>
    <row r="996" ht="15.75" customHeight="1">
      <c r="F996" s="41"/>
    </row>
    <row r="997" ht="15.75" customHeight="1">
      <c r="F997" s="41"/>
    </row>
    <row r="998" ht="15.75" customHeight="1">
      <c r="F998" s="41"/>
    </row>
    <row r="999" ht="15.75" customHeight="1">
      <c r="F999" s="41"/>
    </row>
    <row r="1000" ht="15.75" customHeight="1">
      <c r="F1000" s="41"/>
    </row>
    <row r="1001" ht="15.75" customHeight="1">
      <c r="F1001" s="41"/>
    </row>
    <row r="1002" ht="15.75" customHeight="1">
      <c r="F1002" s="41"/>
    </row>
  </sheetData>
  <autoFilter ref="$A$3:$H$10">
    <sortState ref="A3:H10">
      <sortCondition descending="1" ref="H3:H10"/>
    </sortState>
  </autoFilter>
  <mergeCells count="5">
    <mergeCell ref="A1:A2"/>
    <mergeCell ref="B1:I2"/>
    <mergeCell ref="I4:I10"/>
    <mergeCell ref="A13:I13"/>
    <mergeCell ref="A14:I14"/>
  </mergeCells>
  <conditionalFormatting sqref="H4:H10">
    <cfRule type="colorScale" priority="1">
      <colorScale>
        <cfvo type="min"/>
        <cfvo type="max"/>
        <color rgb="FFFFFFFF"/>
        <color rgb="FFE67C73"/>
      </colorScale>
    </cfRule>
  </conditionalFormatting>
  <conditionalFormatting sqref="L1:R1 F18:L18">
    <cfRule type="colorScale" priority="2">
      <colorScale>
        <cfvo type="min"/>
        <cfvo type="percentile" val="50"/>
        <cfvo type="max"/>
        <color rgb="FF57BB8A"/>
        <color rgb="FFFFD666"/>
        <color rgb="FFE67C73"/>
      </colorScale>
    </cfRule>
  </conditionalFormatting>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sheetViews>
  <sheetFormatPr customHeight="1" defaultColWidth="14.43" defaultRowHeight="15.0"/>
  <cols>
    <col customWidth="1" min="1" max="1" width="32.14"/>
    <col customWidth="1" min="2" max="3" width="23.57"/>
    <col customWidth="1" min="4" max="4" width="11.14"/>
    <col customWidth="1" min="5" max="5" width="8.57"/>
    <col customWidth="1" min="6" max="6" width="8.0"/>
    <col customWidth="1" min="7" max="7" width="20.14"/>
    <col customWidth="1" min="8" max="8" width="11.57"/>
    <col customWidth="1" min="9" max="9" width="15.29"/>
    <col customWidth="1" min="10" max="11" width="8.71"/>
    <col customWidth="1" min="12" max="13" width="8.0"/>
    <col customWidth="1" min="14" max="17" width="5.43"/>
    <col customWidth="1" min="18" max="30" width="8.71"/>
  </cols>
  <sheetData>
    <row r="1">
      <c r="A1" s="101" t="s">
        <v>228</v>
      </c>
      <c r="B1" s="49" t="s">
        <v>386</v>
      </c>
      <c r="C1" s="50"/>
      <c r="D1" s="50"/>
      <c r="E1" s="50"/>
      <c r="F1" s="50"/>
      <c r="G1" s="50"/>
      <c r="H1" s="50"/>
      <c r="I1" s="50"/>
      <c r="J1" s="51"/>
      <c r="L1" s="72" t="s">
        <v>244</v>
      </c>
      <c r="M1" s="6">
        <v>25.0</v>
      </c>
      <c r="N1" s="6">
        <v>26.0</v>
      </c>
      <c r="O1" s="6">
        <v>27.0</v>
      </c>
      <c r="P1" s="6">
        <v>27.75</v>
      </c>
      <c r="Q1" s="6">
        <v>29.0</v>
      </c>
      <c r="R1" s="6">
        <v>30.0</v>
      </c>
      <c r="S1" s="6">
        <v>31.0</v>
      </c>
    </row>
    <row r="2">
      <c r="A2" s="52"/>
      <c r="B2" s="53"/>
      <c r="C2" s="54"/>
      <c r="D2" s="54"/>
      <c r="E2" s="54"/>
      <c r="F2" s="54"/>
      <c r="G2" s="54"/>
      <c r="H2" s="54"/>
      <c r="I2" s="54"/>
      <c r="J2" s="55"/>
      <c r="L2" s="72" t="s">
        <v>245</v>
      </c>
      <c r="M2" s="73" t="str">
        <f>E9*100/M1</f>
        <v>#REF!</v>
      </c>
      <c r="N2" s="73" t="str">
        <f>E9*100/N1</f>
        <v>#REF!</v>
      </c>
      <c r="O2" s="119" t="str">
        <f>E9*100/O1</f>
        <v>#REF!</v>
      </c>
      <c r="P2" s="73" t="str">
        <f>E9*100/P1</f>
        <v>#REF!</v>
      </c>
      <c r="Q2" s="73" t="str">
        <f>E9*100/Q1</f>
        <v>#REF!</v>
      </c>
      <c r="R2" s="73" t="str">
        <f>E9*100/R1</f>
        <v>#REF!</v>
      </c>
      <c r="S2" s="73" t="str">
        <f>E9*100/S1</f>
        <v>#REF!</v>
      </c>
    </row>
    <row r="3">
      <c r="A3" s="56" t="s">
        <v>0</v>
      </c>
      <c r="B3" s="57" t="s">
        <v>387</v>
      </c>
      <c r="C3" s="57" t="s">
        <v>388</v>
      </c>
      <c r="D3" s="56" t="s">
        <v>1</v>
      </c>
      <c r="E3" s="57" t="s">
        <v>234</v>
      </c>
      <c r="F3" s="57" t="s">
        <v>235</v>
      </c>
      <c r="G3" s="57" t="s">
        <v>351</v>
      </c>
      <c r="H3" s="57" t="s">
        <v>352</v>
      </c>
      <c r="I3" s="57" t="s">
        <v>353</v>
      </c>
      <c r="J3" s="57" t="s">
        <v>354</v>
      </c>
    </row>
    <row r="4">
      <c r="A4" s="6" t="s">
        <v>295</v>
      </c>
      <c r="B4" s="6">
        <v>200.0</v>
      </c>
      <c r="C4" s="6">
        <v>300.0</v>
      </c>
      <c r="D4" s="4" t="s">
        <v>6</v>
      </c>
      <c r="E4" s="106">
        <f>'Чечевичный суп'!F17 * B4</f>
        <v>12.36462146</v>
      </c>
      <c r="F4" s="59" t="str">
        <f t="shared" ref="F4:F8" si="1">E4/$E$9</f>
        <v>#REF!</v>
      </c>
      <c r="G4" s="4">
        <f>'Чечевичный суп'!B24</f>
        <v>300</v>
      </c>
      <c r="H4" s="4"/>
      <c r="I4" s="4"/>
      <c r="J4" s="4"/>
    </row>
    <row r="5">
      <c r="A5" s="6" t="s">
        <v>355</v>
      </c>
      <c r="B5" s="6">
        <v>350.0</v>
      </c>
      <c r="C5" s="6">
        <v>350.0</v>
      </c>
      <c r="D5" s="4" t="s">
        <v>6</v>
      </c>
      <c r="E5" s="106" t="str">
        <f>'Дюрюм'!C18</f>
        <v>#REF!</v>
      </c>
      <c r="F5" s="59" t="str">
        <f t="shared" si="1"/>
        <v>#REF!</v>
      </c>
      <c r="G5" s="4" t="str">
        <f>'Дюрюм'!B33</f>
        <v>#REF!</v>
      </c>
      <c r="H5" s="80"/>
      <c r="I5" s="80"/>
      <c r="J5" s="80"/>
    </row>
    <row r="6">
      <c r="A6" s="6" t="s">
        <v>324</v>
      </c>
      <c r="B6" s="6">
        <v>100.0</v>
      </c>
      <c r="C6" s="6">
        <v>100.0</v>
      </c>
      <c r="D6" s="4" t="s">
        <v>6</v>
      </c>
      <c r="E6" s="106">
        <f>'Фри на продажу'!C14*B6</f>
        <v>33.452985</v>
      </c>
      <c r="F6" s="59" t="str">
        <f t="shared" si="1"/>
        <v>#REF!</v>
      </c>
      <c r="G6" s="4">
        <f>'Фри на продажу'!C38</f>
        <v>230</v>
      </c>
      <c r="H6" s="81"/>
      <c r="I6" s="81"/>
      <c r="J6" s="81"/>
    </row>
    <row r="7">
      <c r="A7" s="6" t="s">
        <v>357</v>
      </c>
      <c r="B7" s="6">
        <v>30.0</v>
      </c>
      <c r="C7" s="6">
        <v>30.0</v>
      </c>
      <c r="D7" s="4" t="s">
        <v>6</v>
      </c>
      <c r="E7" s="106" t="str">
        <f>'Сырный соус'!D15</f>
        <v/>
      </c>
      <c r="F7" s="59" t="str">
        <f t="shared" si="1"/>
        <v>#REF!</v>
      </c>
      <c r="G7" s="4">
        <f>'Сырный соус'!C35</f>
        <v>70</v>
      </c>
      <c r="H7" s="81"/>
      <c r="I7" s="81"/>
      <c r="J7" s="81"/>
    </row>
    <row r="8">
      <c r="A8" s="6" t="s">
        <v>358</v>
      </c>
      <c r="B8" s="6">
        <v>270.0</v>
      </c>
      <c r="C8" s="6">
        <v>270.0</v>
      </c>
      <c r="D8" s="6"/>
      <c r="E8" s="106">
        <f>VLOOKUP(G14,'Матрица поставщиков'!A1:E530,5,0)</f>
        <v>52</v>
      </c>
      <c r="F8" s="59" t="str">
        <f t="shared" si="1"/>
        <v>#REF!</v>
      </c>
      <c r="G8" s="6">
        <v>190.0</v>
      </c>
      <c r="H8" s="52"/>
      <c r="I8" s="52"/>
      <c r="J8" s="52"/>
    </row>
    <row r="9">
      <c r="A9" s="44" t="s">
        <v>227</v>
      </c>
      <c r="B9" s="4">
        <f t="shared" ref="B9:C9" si="2">SUM(B4:B8)</f>
        <v>950</v>
      </c>
      <c r="C9" s="4">
        <f t="shared" si="2"/>
        <v>1050</v>
      </c>
      <c r="D9" s="82" t="s">
        <v>275</v>
      </c>
      <c r="E9" s="60" t="str">
        <f t="shared" ref="E9:G9" si="3">SUM(E4:E8)</f>
        <v>#REF!</v>
      </c>
      <c r="F9" s="61" t="str">
        <f t="shared" si="3"/>
        <v>#REF!</v>
      </c>
      <c r="G9" s="104" t="str">
        <f t="shared" si="3"/>
        <v>#REF!</v>
      </c>
      <c r="H9" s="121">
        <v>950.0</v>
      </c>
      <c r="I9" s="122" t="str">
        <f>G9/H9-100%</f>
        <v>#REF!</v>
      </c>
      <c r="J9" s="123" t="str">
        <f>E9/H9</f>
        <v>#REF!</v>
      </c>
      <c r="K9" s="38">
        <f>K28/H9</f>
        <v>0.05273684211</v>
      </c>
      <c r="L9" s="38" t="str">
        <f>(E9+K28)/H9</f>
        <v>#REF!</v>
      </c>
      <c r="M9" s="38" t="str">
        <f>E9/H9</f>
        <v>#REF!</v>
      </c>
    </row>
    <row r="10">
      <c r="H10" s="124"/>
      <c r="K10" s="38"/>
    </row>
    <row r="11">
      <c r="G11" s="15" t="s">
        <v>248</v>
      </c>
      <c r="H11" s="15">
        <v>1360.0</v>
      </c>
    </row>
    <row r="12">
      <c r="K12" s="65"/>
      <c r="L12" s="65"/>
      <c r="M12" s="65"/>
      <c r="N12" s="65"/>
      <c r="O12" s="65"/>
      <c r="P12" s="65"/>
      <c r="Q12" s="65"/>
      <c r="R12" s="65"/>
      <c r="S12" s="65"/>
      <c r="T12" s="65"/>
    </row>
    <row r="13">
      <c r="J13" s="65"/>
    </row>
    <row r="14">
      <c r="G14" s="15" t="s">
        <v>171</v>
      </c>
      <c r="I14" s="94" t="s">
        <v>246</v>
      </c>
      <c r="J14" s="94" t="s">
        <v>247</v>
      </c>
      <c r="K14" s="94" t="s">
        <v>248</v>
      </c>
    </row>
    <row r="15">
      <c r="H15" s="6" t="s">
        <v>249</v>
      </c>
      <c r="I15" s="95">
        <v>2.0</v>
      </c>
      <c r="J15" s="96">
        <v>2.0</v>
      </c>
      <c r="K15" s="96">
        <v>2.0</v>
      </c>
    </row>
    <row r="16">
      <c r="H16" s="6" t="s">
        <v>250</v>
      </c>
      <c r="I16" s="75">
        <v>1.2</v>
      </c>
      <c r="J16" s="97">
        <v>1.2</v>
      </c>
      <c r="K16" s="97">
        <v>1.2</v>
      </c>
    </row>
    <row r="17">
      <c r="H17" s="6" t="s">
        <v>251</v>
      </c>
      <c r="I17" s="75">
        <v>0.34</v>
      </c>
      <c r="J17" s="97">
        <v>0.34</v>
      </c>
      <c r="K17" s="97">
        <v>0.34</v>
      </c>
    </row>
    <row r="18">
      <c r="H18" s="6" t="s">
        <v>252</v>
      </c>
      <c r="I18" s="95">
        <v>0.0</v>
      </c>
      <c r="J18" s="96">
        <v>2.0</v>
      </c>
      <c r="K18" s="96">
        <v>2.0</v>
      </c>
    </row>
    <row r="19">
      <c r="H19" s="6" t="s">
        <v>253</v>
      </c>
      <c r="I19" s="75">
        <v>7.5</v>
      </c>
      <c r="J19" s="97">
        <v>7.5</v>
      </c>
      <c r="K19" s="97">
        <v>2.5</v>
      </c>
    </row>
    <row r="20">
      <c r="H20" s="6" t="s">
        <v>345</v>
      </c>
      <c r="I20" s="95">
        <v>6.8</v>
      </c>
      <c r="J20" s="96">
        <v>6.1</v>
      </c>
      <c r="K20" s="96">
        <v>6.1</v>
      </c>
    </row>
    <row r="21">
      <c r="H21" s="6" t="s">
        <v>346</v>
      </c>
      <c r="I21" s="95">
        <v>0.0</v>
      </c>
      <c r="J21" s="96">
        <v>2.9</v>
      </c>
      <c r="K21" s="96">
        <v>2.9</v>
      </c>
    </row>
    <row r="22" ht="15.75" customHeight="1">
      <c r="H22" s="15" t="s">
        <v>254</v>
      </c>
      <c r="I22" s="95">
        <v>4.52</v>
      </c>
      <c r="J22" s="99">
        <v>4.52</v>
      </c>
      <c r="K22" s="99">
        <v>4.52</v>
      </c>
    </row>
    <row r="23" ht="15.75" customHeight="1">
      <c r="H23" s="15" t="s">
        <v>288</v>
      </c>
      <c r="I23" s="95">
        <v>12.85</v>
      </c>
      <c r="J23" s="95">
        <v>12.85</v>
      </c>
      <c r="K23" s="95">
        <v>12.85</v>
      </c>
    </row>
    <row r="24" ht="15.75" customHeight="1">
      <c r="H24" s="15" t="s">
        <v>389</v>
      </c>
      <c r="I24" s="95">
        <v>2.67</v>
      </c>
      <c r="J24" s="95">
        <v>2.67</v>
      </c>
      <c r="K24" s="95">
        <v>2.67</v>
      </c>
    </row>
    <row r="25" ht="15.75" customHeight="1">
      <c r="H25" s="6" t="s">
        <v>359</v>
      </c>
      <c r="I25" s="95">
        <v>2.7</v>
      </c>
      <c r="J25" s="95">
        <v>2.7</v>
      </c>
      <c r="K25" s="95">
        <v>2.7</v>
      </c>
    </row>
    <row r="26" ht="15.75" customHeight="1">
      <c r="H26" s="6" t="s">
        <v>255</v>
      </c>
      <c r="I26" s="95">
        <v>0.0</v>
      </c>
      <c r="J26" s="95">
        <v>1.52</v>
      </c>
      <c r="K26" s="95">
        <v>1.52</v>
      </c>
    </row>
    <row r="27" ht="15.75" customHeight="1">
      <c r="H27" s="15" t="s">
        <v>360</v>
      </c>
      <c r="I27" s="95">
        <v>8.8</v>
      </c>
      <c r="J27" s="95">
        <v>8.8</v>
      </c>
      <c r="K27" s="95">
        <v>8.8</v>
      </c>
    </row>
    <row r="28" ht="15.75" customHeight="1">
      <c r="G28" s="41"/>
      <c r="I28" s="100">
        <f t="shared" ref="I28:K28" si="4">SUM(I15:I27)</f>
        <v>49.38</v>
      </c>
      <c r="J28" s="100">
        <f t="shared" si="4"/>
        <v>55.1</v>
      </c>
      <c r="K28" s="100">
        <f t="shared" si="4"/>
        <v>50.1</v>
      </c>
    </row>
    <row r="29" ht="15.75" customHeight="1">
      <c r="G29" s="41"/>
      <c r="I29" s="100"/>
      <c r="J29" s="100"/>
      <c r="K29" s="100"/>
    </row>
    <row r="30" ht="15.75" customHeight="1">
      <c r="I30" s="100"/>
      <c r="J30" s="100"/>
      <c r="K30" s="100" t="str">
        <f>E9+K28</f>
        <v>#REF!</v>
      </c>
    </row>
    <row r="31" ht="15.75" customHeight="1"/>
    <row r="32" ht="15.75" customHeight="1">
      <c r="G32" s="41"/>
    </row>
    <row r="33" ht="15.75" customHeight="1">
      <c r="G33" s="4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5">
    <mergeCell ref="A1:A2"/>
    <mergeCell ref="B1:J2"/>
    <mergeCell ref="H5:H8"/>
    <mergeCell ref="I5:I8"/>
    <mergeCell ref="J5:J8"/>
  </mergeCells>
  <conditionalFormatting sqref="F4:F8">
    <cfRule type="colorScale" priority="1">
      <colorScale>
        <cfvo type="min"/>
        <cfvo type="max"/>
        <color rgb="FFFFFFFF"/>
        <color rgb="FFE67C73"/>
      </colorScale>
    </cfRule>
  </conditionalFormatting>
  <conditionalFormatting sqref="L1:S1 F28 N30:O30">
    <cfRule type="colorScale" priority="2">
      <colorScale>
        <cfvo type="min"/>
        <cfvo type="percentile" val="50"/>
        <cfvo type="max"/>
        <color rgb="FF57BB8A"/>
        <color rgb="FFFFD666"/>
        <color rgb="FFE67C73"/>
      </colorScale>
    </cfRule>
  </conditionalFormatting>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324</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28" t="s">
        <v>342</v>
      </c>
      <c r="B4" s="58">
        <v>100.0</v>
      </c>
      <c r="C4" s="58">
        <v>100.0</v>
      </c>
      <c r="D4" s="6" t="s">
        <v>237</v>
      </c>
      <c r="E4" s="6">
        <f t="shared" ref="E4:E8" si="1">B4-C4</f>
        <v>0</v>
      </c>
      <c r="F4" s="5">
        <f t="shared" ref="F4:F8" si="2">E4/B4*100</f>
        <v>0</v>
      </c>
      <c r="G4" s="34">
        <f>'пф Фри в панировке'!L5*B4</f>
        <v>30.07847218</v>
      </c>
      <c r="H4" s="59">
        <f>G4/G8</f>
        <v>0.8991267051</v>
      </c>
      <c r="I4" s="80"/>
    </row>
    <row r="5">
      <c r="A5" s="6" t="s">
        <v>119</v>
      </c>
      <c r="B5" s="6">
        <v>1.0</v>
      </c>
      <c r="C5" s="6">
        <v>1.0</v>
      </c>
      <c r="D5" s="6" t="s">
        <v>237</v>
      </c>
      <c r="E5" s="6">
        <f t="shared" si="1"/>
        <v>0</v>
      </c>
      <c r="F5" s="5">
        <f t="shared" si="2"/>
        <v>0</v>
      </c>
      <c r="G5" s="113">
        <f>VLOOKUP(A5,'Матрица поставщиков'!A1:E53,5,0) * B5</f>
        <v>0.67</v>
      </c>
      <c r="H5" s="59">
        <f>G5/G8</f>
        <v>0.0200281081</v>
      </c>
      <c r="I5" s="81"/>
    </row>
    <row r="6">
      <c r="A6" s="6" t="s">
        <v>157</v>
      </c>
      <c r="B6" s="6">
        <v>1.0</v>
      </c>
      <c r="C6" s="6">
        <v>1.0</v>
      </c>
      <c r="D6" s="6" t="s">
        <v>237</v>
      </c>
      <c r="E6" s="6">
        <f t="shared" si="1"/>
        <v>0</v>
      </c>
      <c r="F6" s="5">
        <f t="shared" si="2"/>
        <v>0</v>
      </c>
      <c r="G6" s="113">
        <f>VLOOKUP(A6,'Матрица поставщиков'!A2:E540,5,0) * B6</f>
        <v>2.620512821</v>
      </c>
      <c r="H6" s="59">
        <f>G6/G8</f>
        <v>0.07833420009</v>
      </c>
      <c r="I6" s="81"/>
    </row>
    <row r="7">
      <c r="A7" s="6" t="s">
        <v>17</v>
      </c>
      <c r="B7" s="6">
        <v>2.0</v>
      </c>
      <c r="C7" s="6">
        <v>2.0</v>
      </c>
      <c r="D7" s="6" t="s">
        <v>237</v>
      </c>
      <c r="E7" s="6">
        <f t="shared" si="1"/>
        <v>0</v>
      </c>
      <c r="F7" s="5">
        <f t="shared" si="2"/>
        <v>0</v>
      </c>
      <c r="G7" s="113">
        <f>VLOOKUP(A7,'Матрица поставщиков'!A1:E54,5,0) * B7</f>
        <v>0.084</v>
      </c>
      <c r="H7" s="59">
        <f>G7/G8</f>
        <v>0.002510986688</v>
      </c>
      <c r="I7" s="52"/>
    </row>
    <row r="8">
      <c r="A8" s="44" t="s">
        <v>227</v>
      </c>
      <c r="B8" s="4">
        <f t="shared" ref="B8:C8" si="3">SUM(B4)</f>
        <v>100</v>
      </c>
      <c r="C8" s="4">
        <f t="shared" si="3"/>
        <v>100</v>
      </c>
      <c r="D8" s="6" t="s">
        <v>237</v>
      </c>
      <c r="E8" s="6">
        <f t="shared" si="1"/>
        <v>0</v>
      </c>
      <c r="F8" s="5">
        <f t="shared" si="2"/>
        <v>0</v>
      </c>
      <c r="G8" s="60">
        <f t="shared" ref="G8:H8" si="4">SUM(G4:G7)</f>
        <v>33.452985</v>
      </c>
      <c r="H8" s="61">
        <f t="shared" si="4"/>
        <v>1</v>
      </c>
      <c r="I8" s="62">
        <f>B8-E8</f>
        <v>100</v>
      </c>
    </row>
    <row r="10">
      <c r="A10" s="63" t="s">
        <v>238</v>
      </c>
    </row>
    <row r="11">
      <c r="A11" s="64" t="s">
        <v>390</v>
      </c>
      <c r="H11" s="65"/>
      <c r="I11" s="65"/>
    </row>
    <row r="12">
      <c r="B12" s="66" t="s">
        <v>208</v>
      </c>
      <c r="C12" s="66" t="s">
        <v>240</v>
      </c>
    </row>
    <row r="13">
      <c r="B13" s="17">
        <f>I8</f>
        <v>100</v>
      </c>
      <c r="C13" s="34">
        <f>G8/I8*B13</f>
        <v>33.452985</v>
      </c>
    </row>
    <row r="14">
      <c r="B14" s="17">
        <v>1.0</v>
      </c>
      <c r="C14" s="34">
        <f>G8/I8*B14</f>
        <v>0.33452985</v>
      </c>
    </row>
    <row r="16">
      <c r="B16" s="67" t="s">
        <v>241</v>
      </c>
      <c r="C16" s="68"/>
      <c r="D16" s="68"/>
      <c r="E16" s="68"/>
      <c r="F16" s="68"/>
      <c r="G16" s="68"/>
      <c r="H16" s="68"/>
      <c r="I16" s="68"/>
      <c r="J16" s="68"/>
      <c r="K16" s="68"/>
      <c r="L16" s="68"/>
      <c r="M16" s="69"/>
    </row>
    <row r="17">
      <c r="C17" s="15" t="s">
        <v>223</v>
      </c>
      <c r="D17" s="15" t="s">
        <v>242</v>
      </c>
      <c r="E17" s="15" t="s">
        <v>243</v>
      </c>
      <c r="G17" s="41"/>
    </row>
    <row r="18">
      <c r="B18" s="70" t="s">
        <v>277</v>
      </c>
      <c r="C18" s="71">
        <f>D18/D26</f>
        <v>0.72766615</v>
      </c>
      <c r="D18" s="39">
        <f>C13</f>
        <v>33.452985</v>
      </c>
      <c r="F18" s="72" t="s">
        <v>244</v>
      </c>
      <c r="G18" s="6">
        <v>10.0</v>
      </c>
      <c r="H18" s="6">
        <v>15.0</v>
      </c>
      <c r="I18" s="6">
        <v>20.0</v>
      </c>
    </row>
    <row r="19">
      <c r="B19" s="6" t="s">
        <v>249</v>
      </c>
      <c r="C19" s="84">
        <f>D19/D26</f>
        <v>0.0435038099</v>
      </c>
      <c r="D19" s="93">
        <v>2.0</v>
      </c>
      <c r="F19" s="72" t="s">
        <v>245</v>
      </c>
      <c r="G19" s="73">
        <f>D26*100/G18</f>
        <v>459.72985</v>
      </c>
      <c r="H19" s="73">
        <f>D26*100/H18</f>
        <v>306.4865667</v>
      </c>
      <c r="I19" s="73">
        <f>D26*100/I18</f>
        <v>229.864925</v>
      </c>
    </row>
    <row r="20">
      <c r="B20" s="6" t="s">
        <v>250</v>
      </c>
      <c r="C20" s="84">
        <f>D20/D26</f>
        <v>0.02610228594</v>
      </c>
      <c r="D20" s="93">
        <v>1.2</v>
      </c>
      <c r="G20" s="41"/>
    </row>
    <row r="21">
      <c r="B21" s="6" t="s">
        <v>251</v>
      </c>
      <c r="C21" s="84">
        <f>D21/D26</f>
        <v>0.007395647683</v>
      </c>
      <c r="D21" s="93">
        <v>0.34</v>
      </c>
      <c r="G21" s="41"/>
    </row>
    <row r="22">
      <c r="B22" s="6" t="s">
        <v>359</v>
      </c>
      <c r="C22" s="84">
        <f>D22/D26</f>
        <v>0.05873014336</v>
      </c>
      <c r="D22" s="93">
        <v>2.7</v>
      </c>
      <c r="G22" s="41"/>
    </row>
    <row r="23">
      <c r="B23" s="6" t="s">
        <v>253</v>
      </c>
      <c r="C23" s="84">
        <f>D23/D26</f>
        <v>0.05437976237</v>
      </c>
      <c r="D23" s="93">
        <v>2.5</v>
      </c>
      <c r="G23" s="41"/>
    </row>
    <row r="24">
      <c r="B24" s="15" t="s">
        <v>254</v>
      </c>
      <c r="C24" s="84">
        <f>D24/D26</f>
        <v>0.04915930519</v>
      </c>
      <c r="D24" s="15">
        <v>2.26</v>
      </c>
      <c r="H24" s="94" t="s">
        <v>246</v>
      </c>
      <c r="I24" s="94" t="s">
        <v>247</v>
      </c>
      <c r="J24" s="94" t="s">
        <v>248</v>
      </c>
    </row>
    <row r="25">
      <c r="B25" s="15" t="s">
        <v>337</v>
      </c>
      <c r="C25" s="84">
        <f>D25/D26</f>
        <v>0.03306289552</v>
      </c>
      <c r="D25" s="15">
        <v>1.52</v>
      </c>
      <c r="G25" s="6" t="s">
        <v>249</v>
      </c>
      <c r="H25" s="95">
        <v>2.0</v>
      </c>
      <c r="I25" s="95">
        <v>2.0</v>
      </c>
      <c r="J25" s="95">
        <v>2.0</v>
      </c>
    </row>
    <row r="26">
      <c r="B26" s="15" t="s">
        <v>278</v>
      </c>
      <c r="D26" s="39">
        <f>SUM(D18:D25)</f>
        <v>45.972985</v>
      </c>
      <c r="G26" s="6" t="s">
        <v>250</v>
      </c>
      <c r="H26" s="75">
        <v>1.2</v>
      </c>
      <c r="I26" s="75">
        <v>1.2</v>
      </c>
      <c r="J26" s="75">
        <v>1.2</v>
      </c>
    </row>
    <row r="27">
      <c r="G27" s="6" t="s">
        <v>251</v>
      </c>
      <c r="H27" s="75">
        <v>0.34</v>
      </c>
      <c r="I27" s="75">
        <v>0.34</v>
      </c>
      <c r="J27" s="75">
        <v>0.34</v>
      </c>
    </row>
    <row r="28">
      <c r="G28" s="6" t="s">
        <v>252</v>
      </c>
      <c r="H28" s="95">
        <v>0.0</v>
      </c>
      <c r="I28" s="95">
        <v>0.0</v>
      </c>
      <c r="J28" s="95"/>
    </row>
    <row r="29">
      <c r="G29" s="6" t="s">
        <v>253</v>
      </c>
      <c r="H29" s="75">
        <v>2.5</v>
      </c>
      <c r="I29" s="75">
        <v>2.5</v>
      </c>
      <c r="J29" s="75">
        <v>2.5</v>
      </c>
    </row>
    <row r="30">
      <c r="G30" s="6" t="s">
        <v>359</v>
      </c>
      <c r="H30" s="95">
        <v>2.7</v>
      </c>
      <c r="I30" s="95">
        <v>2.7</v>
      </c>
      <c r="J30" s="95">
        <v>2.7</v>
      </c>
    </row>
    <row r="31">
      <c r="G31" s="6" t="s">
        <v>255</v>
      </c>
      <c r="H31" s="95">
        <v>0.0</v>
      </c>
      <c r="I31" s="95">
        <v>1.52</v>
      </c>
      <c r="J31" s="95">
        <v>1.52</v>
      </c>
    </row>
    <row r="32">
      <c r="H32" s="95"/>
      <c r="I32" s="95"/>
      <c r="J32" s="95"/>
    </row>
    <row r="33">
      <c r="B33" s="44" t="s">
        <v>256</v>
      </c>
      <c r="C33" s="46">
        <v>230.0</v>
      </c>
      <c r="H33" s="95"/>
      <c r="I33" s="95"/>
      <c r="J33" s="95"/>
    </row>
    <row r="34">
      <c r="B34" s="6" t="s">
        <v>257</v>
      </c>
      <c r="C34" s="59">
        <f>J36/C33</f>
        <v>0.1900564565</v>
      </c>
      <c r="H34" s="129">
        <f t="shared" ref="H34:J34" si="5">SUM(H25:H33)</f>
        <v>8.74</v>
      </c>
      <c r="I34" s="129">
        <f t="shared" si="5"/>
        <v>10.26</v>
      </c>
      <c r="J34" s="129">
        <f t="shared" si="5"/>
        <v>10.26</v>
      </c>
    </row>
    <row r="35">
      <c r="B35" s="6" t="s">
        <v>258</v>
      </c>
      <c r="C35" s="59">
        <f>D18/C33</f>
        <v>0.1454477609</v>
      </c>
      <c r="H35" s="129"/>
      <c r="I35" s="129"/>
      <c r="J35" s="129"/>
    </row>
    <row r="36">
      <c r="H36" s="129"/>
      <c r="I36" s="129"/>
      <c r="J36" s="129">
        <f>D18+J34</f>
        <v>43.712985</v>
      </c>
    </row>
    <row r="38">
      <c r="B38" s="10" t="s">
        <v>204</v>
      </c>
      <c r="C38" s="78">
        <v>230.0</v>
      </c>
    </row>
    <row r="39">
      <c r="B39" s="10" t="s">
        <v>248</v>
      </c>
      <c r="C39" s="78">
        <v>330.0</v>
      </c>
    </row>
  </sheetData>
  <mergeCells count="6">
    <mergeCell ref="A1:A2"/>
    <mergeCell ref="B1:I2"/>
    <mergeCell ref="I4:I7"/>
    <mergeCell ref="A10:I10"/>
    <mergeCell ref="A11:G11"/>
    <mergeCell ref="B16:M16"/>
  </mergeCells>
  <conditionalFormatting sqref="G18:I18">
    <cfRule type="colorScale" priority="1">
      <colorScale>
        <cfvo type="min"/>
        <cfvo type="percentile" val="50"/>
        <cfvo type="max"/>
        <color rgb="FF57BB8A"/>
        <color rgb="FFFFD666"/>
        <color rgb="FFE67C73"/>
      </colorScale>
    </cfRule>
  </conditionalFormatting>
  <conditionalFormatting sqref="H4:H7">
    <cfRule type="colorScale" priority="2">
      <colorScale>
        <cfvo type="min"/>
        <cfvo type="max"/>
        <color rgb="FFFFFFFF"/>
        <color rgb="FFE67C73"/>
      </colorScale>
    </cfRule>
  </conditionalFormatting>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174</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174</v>
      </c>
      <c r="B4" s="58">
        <v>12.0</v>
      </c>
      <c r="C4" s="58">
        <v>12.0</v>
      </c>
      <c r="D4" s="6" t="s">
        <v>237</v>
      </c>
      <c r="E4" s="6">
        <f t="shared" ref="E4:E5" si="2">B4-C4</f>
        <v>0</v>
      </c>
      <c r="F4" s="5">
        <f t="shared" ref="F4:F5" si="3">E4/B4*100</f>
        <v>0</v>
      </c>
      <c r="G4" s="34">
        <f>VLOOKUP(A4,'Матрица поставщиков'!A1:E530,5,0) * B4</f>
        <v>8.088</v>
      </c>
      <c r="H4" s="59">
        <f>G4/G5</f>
        <v>1</v>
      </c>
      <c r="I4" s="4"/>
    </row>
    <row r="5">
      <c r="A5" s="44" t="s">
        <v>227</v>
      </c>
      <c r="B5" s="4">
        <f t="shared" ref="B5:C5" si="1">SUM(B4)</f>
        <v>12</v>
      </c>
      <c r="C5" s="4">
        <f t="shared" si="1"/>
        <v>12</v>
      </c>
      <c r="D5" s="6" t="s">
        <v>237</v>
      </c>
      <c r="E5" s="6">
        <f t="shared" si="2"/>
        <v>0</v>
      </c>
      <c r="F5" s="5">
        <f t="shared" si="3"/>
        <v>0</v>
      </c>
      <c r="G5" s="60">
        <f t="shared" ref="G5:H5" si="4">SUM(G4)</f>
        <v>8.088</v>
      </c>
      <c r="H5" s="61">
        <f t="shared" si="4"/>
        <v>1</v>
      </c>
      <c r="I5" s="62">
        <f>B5-E5</f>
        <v>12</v>
      </c>
    </row>
    <row r="7">
      <c r="A7" s="63" t="s">
        <v>238</v>
      </c>
    </row>
    <row r="8">
      <c r="A8" s="64" t="s">
        <v>391</v>
      </c>
      <c r="H8" s="65"/>
      <c r="I8" s="65"/>
    </row>
    <row r="9">
      <c r="B9" s="66" t="s">
        <v>208</v>
      </c>
      <c r="C9" s="66" t="s">
        <v>240</v>
      </c>
    </row>
    <row r="10">
      <c r="B10" s="17">
        <f>I5</f>
        <v>12</v>
      </c>
      <c r="C10" s="34">
        <f>G5/I5*B10</f>
        <v>8.088</v>
      </c>
    </row>
    <row r="11">
      <c r="B11" s="17">
        <v>1.0</v>
      </c>
      <c r="C11" s="34">
        <f>G5/I5*B11</f>
        <v>0.674</v>
      </c>
    </row>
    <row r="13">
      <c r="B13" s="67" t="s">
        <v>241</v>
      </c>
      <c r="C13" s="68"/>
      <c r="D13" s="68"/>
      <c r="E13" s="68"/>
      <c r="F13" s="68"/>
      <c r="G13" s="68"/>
      <c r="H13" s="68"/>
      <c r="I13" s="68"/>
      <c r="J13" s="68"/>
      <c r="K13" s="68"/>
      <c r="L13" s="68"/>
      <c r="M13" s="69"/>
    </row>
    <row r="14">
      <c r="C14" s="15" t="s">
        <v>223</v>
      </c>
      <c r="D14" s="15" t="s">
        <v>242</v>
      </c>
      <c r="E14" s="15" t="s">
        <v>243</v>
      </c>
      <c r="G14" s="41"/>
    </row>
    <row r="15">
      <c r="B15" s="70" t="s">
        <v>277</v>
      </c>
      <c r="C15" s="71">
        <f>D15/D23</f>
        <v>0.3924689441</v>
      </c>
      <c r="D15" s="39">
        <f>C10</f>
        <v>8.088</v>
      </c>
      <c r="F15" s="72" t="s">
        <v>244</v>
      </c>
      <c r="G15" s="6">
        <v>10.0</v>
      </c>
      <c r="H15" s="6">
        <v>15.0</v>
      </c>
      <c r="I15" s="6">
        <v>20.0</v>
      </c>
    </row>
    <row r="16">
      <c r="B16" s="6" t="s">
        <v>249</v>
      </c>
      <c r="C16" s="84">
        <f>D16/D23</f>
        <v>0.09704968944</v>
      </c>
      <c r="D16" s="93">
        <v>2.0</v>
      </c>
      <c r="F16" s="72" t="s">
        <v>245</v>
      </c>
      <c r="G16" s="73">
        <f>D23*100/G15</f>
        <v>206.08</v>
      </c>
      <c r="H16" s="73">
        <f>D23*100/H15</f>
        <v>137.3866667</v>
      </c>
      <c r="I16" s="73">
        <f>D23*100/I15</f>
        <v>103.04</v>
      </c>
    </row>
    <row r="17">
      <c r="B17" s="6" t="s">
        <v>250</v>
      </c>
      <c r="C17" s="84">
        <f>D17/D23</f>
        <v>0.05822981366</v>
      </c>
      <c r="D17" s="93">
        <v>1.2</v>
      </c>
      <c r="G17" s="41"/>
    </row>
    <row r="18">
      <c r="B18" s="6" t="s">
        <v>251</v>
      </c>
      <c r="C18" s="84">
        <f>D18/D23</f>
        <v>0.0164984472</v>
      </c>
      <c r="D18" s="93">
        <v>0.34</v>
      </c>
      <c r="G18" s="41"/>
    </row>
    <row r="19">
      <c r="B19" s="6" t="s">
        <v>359</v>
      </c>
      <c r="C19" s="84">
        <f>D19/D23</f>
        <v>0.1310170807</v>
      </c>
      <c r="D19" s="93">
        <v>2.7</v>
      </c>
      <c r="G19" s="41"/>
    </row>
    <row r="20">
      <c r="B20" s="6" t="s">
        <v>253</v>
      </c>
      <c r="C20" s="84">
        <f>D20/D23</f>
        <v>0.1213121118</v>
      </c>
      <c r="D20" s="93">
        <v>2.5</v>
      </c>
      <c r="G20" s="41"/>
    </row>
    <row r="21">
      <c r="B21" s="15" t="s">
        <v>254</v>
      </c>
      <c r="C21" s="84">
        <f>D21/D23</f>
        <v>0.1096661491</v>
      </c>
      <c r="D21" s="15">
        <v>2.26</v>
      </c>
      <c r="H21" s="94" t="s">
        <v>246</v>
      </c>
      <c r="I21" s="94" t="s">
        <v>247</v>
      </c>
      <c r="J21" s="94" t="s">
        <v>248</v>
      </c>
    </row>
    <row r="22">
      <c r="B22" s="15" t="s">
        <v>337</v>
      </c>
      <c r="C22" s="84">
        <f>D22/D23</f>
        <v>0.07375776398</v>
      </c>
      <c r="D22" s="15">
        <v>1.52</v>
      </c>
      <c r="G22" s="6" t="s">
        <v>249</v>
      </c>
      <c r="H22" s="95">
        <v>0.0</v>
      </c>
      <c r="I22" s="95">
        <v>0.0</v>
      </c>
      <c r="J22" s="95">
        <v>0.0</v>
      </c>
    </row>
    <row r="23">
      <c r="B23" s="15" t="s">
        <v>278</v>
      </c>
      <c r="D23" s="39">
        <f>SUM(D15:D22)</f>
        <v>20.608</v>
      </c>
      <c r="G23" s="6" t="s">
        <v>250</v>
      </c>
      <c r="H23" s="95">
        <v>0.0</v>
      </c>
      <c r="I23" s="95">
        <v>0.0</v>
      </c>
      <c r="J23" s="95">
        <v>0.0</v>
      </c>
    </row>
    <row r="24">
      <c r="G24" s="6" t="s">
        <v>251</v>
      </c>
      <c r="H24" s="95">
        <v>0.0</v>
      </c>
      <c r="I24" s="95">
        <v>0.0</v>
      </c>
      <c r="J24" s="95">
        <v>0.0</v>
      </c>
    </row>
    <row r="25">
      <c r="G25" s="6" t="s">
        <v>252</v>
      </c>
      <c r="H25" s="95">
        <v>0.0</v>
      </c>
      <c r="I25" s="95">
        <v>0.0</v>
      </c>
      <c r="J25" s="95">
        <v>0.0</v>
      </c>
    </row>
    <row r="26">
      <c r="G26" s="6" t="s">
        <v>253</v>
      </c>
      <c r="H26" s="95">
        <v>0.0</v>
      </c>
      <c r="I26" s="95">
        <v>0.0</v>
      </c>
      <c r="J26" s="95">
        <v>0.0</v>
      </c>
    </row>
    <row r="27">
      <c r="G27" s="15" t="s">
        <v>254</v>
      </c>
      <c r="H27" s="99">
        <v>2.26</v>
      </c>
      <c r="I27" s="99">
        <v>2.26</v>
      </c>
      <c r="J27" s="99">
        <v>2.26</v>
      </c>
    </row>
    <row r="28">
      <c r="G28" s="6" t="s">
        <v>255</v>
      </c>
      <c r="H28" s="95">
        <v>0.0</v>
      </c>
      <c r="I28" s="95">
        <v>0.0</v>
      </c>
      <c r="J28" s="95">
        <v>0.0</v>
      </c>
    </row>
    <row r="29">
      <c r="H29" s="95"/>
      <c r="I29" s="95"/>
      <c r="J29" s="95"/>
    </row>
    <row r="30">
      <c r="B30" s="44" t="s">
        <v>256</v>
      </c>
      <c r="C30" s="46">
        <v>60.0</v>
      </c>
      <c r="D30" s="39">
        <f>C30+J31</f>
        <v>62.26</v>
      </c>
      <c r="H30" s="95"/>
      <c r="I30" s="95"/>
      <c r="J30" s="95"/>
    </row>
    <row r="31">
      <c r="B31" s="6" t="s">
        <v>257</v>
      </c>
      <c r="C31" s="59">
        <f>J33/C30</f>
        <v>0.1724666667</v>
      </c>
      <c r="H31" s="129">
        <f t="shared" ref="H31:J31" si="5">SUM(H22:H30)</f>
        <v>2.26</v>
      </c>
      <c r="I31" s="129">
        <f t="shared" si="5"/>
        <v>2.26</v>
      </c>
      <c r="J31" s="129">
        <f t="shared" si="5"/>
        <v>2.26</v>
      </c>
    </row>
    <row r="32">
      <c r="B32" s="6" t="s">
        <v>258</v>
      </c>
      <c r="C32" s="59">
        <f>D15/C30</f>
        <v>0.1348</v>
      </c>
      <c r="H32" s="129"/>
      <c r="I32" s="129"/>
      <c r="J32" s="129"/>
    </row>
    <row r="33">
      <c r="H33" s="129"/>
      <c r="I33" s="129"/>
      <c r="J33" s="129">
        <f>D15+J31</f>
        <v>10.348</v>
      </c>
    </row>
    <row r="35">
      <c r="B35" s="15" t="s">
        <v>204</v>
      </c>
      <c r="C35" s="78">
        <v>60.0</v>
      </c>
    </row>
    <row r="36">
      <c r="B36" s="15" t="s">
        <v>248</v>
      </c>
      <c r="C36" s="78">
        <v>85.0</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
    <cfRule type="colorScale" priority="2">
      <colorScale>
        <cfvo type="min"/>
        <cfvo type="max"/>
        <color rgb="FFFFFFFF"/>
        <color rgb="FFE67C73"/>
      </colorScale>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7.29"/>
    <col customWidth="1" min="2" max="2" width="26.57"/>
    <col customWidth="1" min="3" max="3" width="10.57"/>
    <col customWidth="1" min="4" max="4" width="8.14"/>
    <col customWidth="1" min="5" max="5" width="14.29"/>
    <col customWidth="1" min="6" max="6" width="9.71"/>
    <col customWidth="1" min="7" max="7" width="11.0"/>
    <col customWidth="1" min="8" max="8" width="7.43"/>
    <col customWidth="1" min="9" max="9" width="12.14"/>
    <col customWidth="1" min="10" max="10" width="8.71"/>
    <col customWidth="1" min="11" max="11" width="6.57"/>
    <col customWidth="1" min="12" max="12" width="5.86"/>
    <col customWidth="1" min="13" max="29" width="8.71"/>
  </cols>
  <sheetData>
    <row r="1">
      <c r="A1" s="101" t="s">
        <v>228</v>
      </c>
      <c r="B1" s="49" t="s">
        <v>392</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6" t="s">
        <v>13</v>
      </c>
      <c r="B4" s="6">
        <v>40.0</v>
      </c>
      <c r="C4" s="6">
        <f t="shared" ref="C4:C9" si="1">B4</f>
        <v>40</v>
      </c>
      <c r="D4" s="4" t="s">
        <v>6</v>
      </c>
      <c r="E4" s="6">
        <f t="shared" ref="E4:E11" si="2">B4-C4</f>
        <v>0</v>
      </c>
      <c r="F4" s="5">
        <f t="shared" ref="F4:F11" si="3">E4/B4*100</f>
        <v>0</v>
      </c>
      <c r="G4" s="34">
        <f>VLOOKUP(A4,'Матрица поставщиков'!A1:E52,5,False) * B4</f>
        <v>4.872</v>
      </c>
      <c r="H4" s="59">
        <f>G4/G11</f>
        <v>0.169107363</v>
      </c>
      <c r="I4" s="80"/>
    </row>
    <row r="5">
      <c r="A5" s="6" t="s">
        <v>16</v>
      </c>
      <c r="B5" s="6">
        <v>1.0E-4</v>
      </c>
      <c r="C5" s="6">
        <f t="shared" si="1"/>
        <v>0.0001</v>
      </c>
      <c r="D5" s="4" t="s">
        <v>6</v>
      </c>
      <c r="E5" s="6">
        <f t="shared" si="2"/>
        <v>0</v>
      </c>
      <c r="F5" s="5">
        <f t="shared" si="3"/>
        <v>0</v>
      </c>
      <c r="G5" s="34">
        <f>VLOOKUP(A5,'Матрица поставщиков'!A2:E53,5,False) * B5</f>
        <v>0.00009977777778</v>
      </c>
      <c r="H5" s="59">
        <f>G5/G11</f>
        <v>0.000003463291642</v>
      </c>
      <c r="I5" s="80"/>
    </row>
    <row r="6">
      <c r="A6" s="4" t="s">
        <v>21</v>
      </c>
      <c r="B6" s="6">
        <v>160.0</v>
      </c>
      <c r="C6" s="6">
        <f t="shared" si="1"/>
        <v>160</v>
      </c>
      <c r="D6" s="4" t="s">
        <v>6</v>
      </c>
      <c r="E6" s="6">
        <f t="shared" si="2"/>
        <v>0</v>
      </c>
      <c r="F6" s="5">
        <f t="shared" si="3"/>
        <v>0</v>
      </c>
      <c r="G6" s="34">
        <f>VLOOKUP(A6,'Матрица поставщиков'!A1:E53,5,False) * B6</f>
        <v>16.48</v>
      </c>
      <c r="H6" s="59">
        <f>G6/G11</f>
        <v>0.5720216218</v>
      </c>
      <c r="I6" s="103"/>
    </row>
    <row r="7">
      <c r="A7" s="6" t="s">
        <v>19</v>
      </c>
      <c r="B7" s="6">
        <v>6.0</v>
      </c>
      <c r="C7" s="6">
        <f t="shared" si="1"/>
        <v>6</v>
      </c>
      <c r="D7" s="4" t="s">
        <v>6</v>
      </c>
      <c r="E7" s="6">
        <f t="shared" si="2"/>
        <v>0</v>
      </c>
      <c r="F7" s="5">
        <f t="shared" si="3"/>
        <v>0</v>
      </c>
      <c r="G7" s="34">
        <f>VLOOKUP(A7,'Матрица поставщиков'!A1:E57,5,False) * B7</f>
        <v>4.968</v>
      </c>
      <c r="H7" s="59">
        <f>G7/G11</f>
        <v>0.1724395277</v>
      </c>
      <c r="I7" s="103"/>
    </row>
    <row r="8">
      <c r="A8" s="4" t="s">
        <v>15</v>
      </c>
      <c r="B8" s="6">
        <v>30.0</v>
      </c>
      <c r="C8" s="6">
        <f t="shared" si="1"/>
        <v>30</v>
      </c>
      <c r="D8" s="4" t="s">
        <v>6</v>
      </c>
      <c r="E8" s="6">
        <f t="shared" si="2"/>
        <v>0</v>
      </c>
      <c r="F8" s="5">
        <f t="shared" si="3"/>
        <v>0</v>
      </c>
      <c r="G8" s="34">
        <f>VLOOKUP(A8,'Матрица поставщиков'!A1:E56,5,False) * B8</f>
        <v>2.07</v>
      </c>
      <c r="H8" s="59">
        <f>G8/G11</f>
        <v>0.07184980323</v>
      </c>
      <c r="I8" s="103"/>
    </row>
    <row r="9">
      <c r="A9" s="4" t="s">
        <v>17</v>
      </c>
      <c r="B9" s="6">
        <v>10.0</v>
      </c>
      <c r="C9" s="6">
        <f t="shared" si="1"/>
        <v>10</v>
      </c>
      <c r="D9" s="4" t="s">
        <v>6</v>
      </c>
      <c r="E9" s="6">
        <f t="shared" si="2"/>
        <v>0</v>
      </c>
      <c r="F9" s="5">
        <f t="shared" si="3"/>
        <v>0</v>
      </c>
      <c r="G9" s="34">
        <f>VLOOKUP(A9,'Матрица поставщиков'!A1:E55,5,False) * B9</f>
        <v>0.42</v>
      </c>
      <c r="H9" s="59">
        <f>G9/G11</f>
        <v>0.01457822094</v>
      </c>
      <c r="I9" s="103"/>
    </row>
    <row r="10">
      <c r="A10" s="6" t="s">
        <v>393</v>
      </c>
      <c r="B10" s="6">
        <v>750.0</v>
      </c>
      <c r="C10" s="6">
        <v>700.0</v>
      </c>
      <c r="D10" s="4" t="s">
        <v>12</v>
      </c>
      <c r="E10" s="6">
        <f t="shared" si="2"/>
        <v>50</v>
      </c>
      <c r="F10" s="5">
        <f t="shared" si="3"/>
        <v>6.666666667</v>
      </c>
      <c r="G10" s="111">
        <v>0.0</v>
      </c>
      <c r="H10" s="59">
        <f>G10/G11</f>
        <v>0</v>
      </c>
      <c r="I10" s="126"/>
    </row>
    <row r="11">
      <c r="A11" s="44" t="s">
        <v>227</v>
      </c>
      <c r="B11" s="4">
        <f t="shared" ref="B11:C11" si="4">SUM(B4:B10)</f>
        <v>996.0001</v>
      </c>
      <c r="C11" s="6">
        <f t="shared" si="4"/>
        <v>946.0001</v>
      </c>
      <c r="D11" s="82" t="s">
        <v>275</v>
      </c>
      <c r="E11" s="6">
        <f t="shared" si="2"/>
        <v>50</v>
      </c>
      <c r="F11" s="5">
        <f t="shared" si="3"/>
        <v>5.020079817</v>
      </c>
      <c r="G11" s="60">
        <f t="shared" ref="G11:H11" si="5">SUM(G4:G10)</f>
        <v>28.81009978</v>
      </c>
      <c r="H11" s="61">
        <f t="shared" si="5"/>
        <v>1</v>
      </c>
      <c r="I11" s="130">
        <f>B11-E11</f>
        <v>946.0001</v>
      </c>
    </row>
    <row r="13">
      <c r="A13" s="63" t="s">
        <v>238</v>
      </c>
    </row>
    <row r="14">
      <c r="A14" s="65"/>
      <c r="J14" s="65"/>
      <c r="K14" s="65"/>
      <c r="L14" s="65"/>
      <c r="M14" s="65"/>
      <c r="N14" s="65"/>
      <c r="O14" s="65"/>
      <c r="P14" s="65"/>
      <c r="Q14" s="65"/>
      <c r="R14" s="65"/>
      <c r="S14" s="65"/>
    </row>
    <row r="15">
      <c r="A15" s="70"/>
      <c r="B15" s="66" t="s">
        <v>208</v>
      </c>
      <c r="C15" s="66" t="s">
        <v>240</v>
      </c>
      <c r="D15" s="66" t="s">
        <v>204</v>
      </c>
      <c r="E15" s="66" t="s">
        <v>354</v>
      </c>
    </row>
    <row r="16">
      <c r="A16" s="70"/>
      <c r="B16" s="17">
        <v>50.0</v>
      </c>
      <c r="C16" s="131">
        <f>G11/I11*B16</f>
        <v>1.522732385</v>
      </c>
      <c r="D16" s="6">
        <v>50.0</v>
      </c>
      <c r="E16" s="59">
        <f t="shared" ref="E16:E17" si="6">C16/D16</f>
        <v>0.03045464771</v>
      </c>
    </row>
    <row r="17">
      <c r="A17" s="70"/>
      <c r="B17" s="17">
        <v>1.0</v>
      </c>
      <c r="C17" s="131">
        <f>G11/I11*B17</f>
        <v>0.03045464771</v>
      </c>
      <c r="D17" s="6">
        <v>1.0</v>
      </c>
      <c r="E17" s="59">
        <f t="shared" si="6"/>
        <v>0.03045464771</v>
      </c>
    </row>
    <row r="18">
      <c r="A18" s="70"/>
    </row>
    <row r="19">
      <c r="A19" s="70"/>
      <c r="B19" s="67" t="s">
        <v>241</v>
      </c>
      <c r="C19" s="68"/>
      <c r="D19" s="68"/>
      <c r="E19" s="68"/>
      <c r="F19" s="68"/>
      <c r="G19" s="68"/>
      <c r="H19" s="68"/>
      <c r="I19" s="68"/>
      <c r="J19" s="68"/>
      <c r="K19" s="68"/>
      <c r="L19" s="68"/>
      <c r="M19" s="69"/>
    </row>
    <row r="20">
      <c r="A20" s="70"/>
      <c r="B20" s="4"/>
      <c r="C20" s="6" t="s">
        <v>223</v>
      </c>
      <c r="D20" s="6" t="s">
        <v>242</v>
      </c>
      <c r="G20" s="41"/>
    </row>
    <row r="21">
      <c r="B21" s="44" t="s">
        <v>277</v>
      </c>
      <c r="C21" s="84">
        <f>D21/D24</f>
        <v>0.4249120088</v>
      </c>
      <c r="D21" s="131">
        <f>C16</f>
        <v>1.522732385</v>
      </c>
      <c r="F21" s="72" t="s">
        <v>244</v>
      </c>
      <c r="G21" s="6">
        <v>15.0</v>
      </c>
      <c r="H21" s="6">
        <v>20.0</v>
      </c>
      <c r="I21" s="6">
        <v>25.0</v>
      </c>
    </row>
    <row r="22">
      <c r="B22" s="44" t="s">
        <v>249</v>
      </c>
      <c r="C22" s="85">
        <v>0.04</v>
      </c>
      <c r="D22" s="86">
        <f>D21*C22</f>
        <v>0.06090929542</v>
      </c>
      <c r="F22" s="72" t="s">
        <v>245</v>
      </c>
      <c r="G22" s="73">
        <f>D24*100/G21</f>
        <v>23.89094454</v>
      </c>
      <c r="H22" s="73">
        <f>D24*100/H21</f>
        <v>17.9182084</v>
      </c>
      <c r="I22" s="73">
        <f>D24*100/I21</f>
        <v>14.33456672</v>
      </c>
    </row>
    <row r="23">
      <c r="B23" s="44" t="s">
        <v>113</v>
      </c>
      <c r="C23" s="84">
        <f>D23/D24</f>
        <v>0.5580915108</v>
      </c>
      <c r="D23" s="6">
        <v>2.0</v>
      </c>
      <c r="G23" s="41"/>
    </row>
    <row r="24" ht="15.75" customHeight="1">
      <c r="B24" s="6" t="s">
        <v>278</v>
      </c>
      <c r="C24" s="4"/>
      <c r="D24" s="132">
        <f>SUM(D21:D23)</f>
        <v>3.583641681</v>
      </c>
      <c r="G24" s="41"/>
    </row>
    <row r="25" ht="15.75" customHeight="1">
      <c r="G25" s="41"/>
    </row>
    <row r="26" ht="15.75" customHeight="1">
      <c r="B26" s="44" t="s">
        <v>256</v>
      </c>
      <c r="C26" s="46">
        <v>80.0</v>
      </c>
      <c r="G26" s="41"/>
    </row>
    <row r="27" ht="15.75" customHeight="1">
      <c r="B27" s="6" t="s">
        <v>257</v>
      </c>
      <c r="C27" s="59">
        <f>D24/C26</f>
        <v>0.04479552101</v>
      </c>
    </row>
    <row r="28" ht="15.75" customHeight="1">
      <c r="B28" s="6" t="s">
        <v>258</v>
      </c>
      <c r="C28" s="59">
        <f>D21/C26</f>
        <v>0.01903415482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3:$H$10">
    <sortState ref="A3:H10">
      <sortCondition descending="1" ref="H3:H10"/>
    </sortState>
  </autoFilter>
  <mergeCells count="5">
    <mergeCell ref="A1:A2"/>
    <mergeCell ref="B1:I2"/>
    <mergeCell ref="A13:I13"/>
    <mergeCell ref="A14:I14"/>
    <mergeCell ref="B19:M19"/>
  </mergeCells>
  <conditionalFormatting sqref="G21:I21">
    <cfRule type="colorScale" priority="1">
      <colorScale>
        <cfvo type="min"/>
        <cfvo type="percentile" val="50"/>
        <cfvo type="max"/>
        <color rgb="FF57BB8A"/>
        <color rgb="FFFFD666"/>
        <color rgb="FFE67C73"/>
      </colorScale>
    </cfRule>
  </conditionalFormatting>
  <conditionalFormatting sqref="H4:H10">
    <cfRule type="colorScale" priority="2">
      <colorScale>
        <cfvo type="min"/>
        <cfvo type="max"/>
        <color rgb="FFFFFFFF"/>
        <color rgb="FFE67C73"/>
      </colorScale>
    </cfRule>
  </conditionalFormatting>
  <dataValidations>
    <dataValidation type="list" allowBlank="1" showErrorMessage="1" sqref="A4:A10">
      <formula1>'Матрица поставщиков'!$A$2:$A$100</formula1>
    </dataValidation>
  </dataValidation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394</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285</v>
      </c>
      <c r="B4" s="58">
        <v>150.0</v>
      </c>
      <c r="C4" s="58">
        <v>150.0</v>
      </c>
      <c r="D4" s="6" t="s">
        <v>237</v>
      </c>
      <c r="E4" s="6">
        <f t="shared" ref="E4:E5" si="2">B4-C4</f>
        <v>0</v>
      </c>
      <c r="F4" s="5">
        <f t="shared" ref="F4:F5" si="3">E4/B4*100</f>
        <v>0</v>
      </c>
      <c r="G4" s="34">
        <f>B4*'пф Манная халва'!D23</f>
        <v>27.42581854</v>
      </c>
      <c r="H4" s="59">
        <f>G4/G5</f>
        <v>1</v>
      </c>
      <c r="I4" s="4"/>
    </row>
    <row r="5">
      <c r="A5" s="44" t="s">
        <v>227</v>
      </c>
      <c r="B5" s="4">
        <f t="shared" ref="B5:C5" si="1">SUM(B4)</f>
        <v>150</v>
      </c>
      <c r="C5" s="4">
        <f t="shared" si="1"/>
        <v>150</v>
      </c>
      <c r="D5" s="6" t="s">
        <v>237</v>
      </c>
      <c r="E5" s="6">
        <f t="shared" si="2"/>
        <v>0</v>
      </c>
      <c r="F5" s="5">
        <f t="shared" si="3"/>
        <v>0</v>
      </c>
      <c r="G5" s="60">
        <f t="shared" ref="G5:H5" si="4">SUM(G4)</f>
        <v>27.42581854</v>
      </c>
      <c r="H5" s="61">
        <f t="shared" si="4"/>
        <v>1</v>
      </c>
      <c r="I5" s="62">
        <f>C5</f>
        <v>150</v>
      </c>
    </row>
    <row r="7">
      <c r="A7" s="63" t="s">
        <v>238</v>
      </c>
    </row>
    <row r="8">
      <c r="A8" s="64" t="s">
        <v>395</v>
      </c>
      <c r="H8" s="65"/>
      <c r="I8" s="65"/>
    </row>
    <row r="9">
      <c r="B9" s="66" t="s">
        <v>208</v>
      </c>
      <c r="C9" s="66" t="s">
        <v>240</v>
      </c>
    </row>
    <row r="10">
      <c r="B10" s="17">
        <v>150.0</v>
      </c>
      <c r="C10" s="34">
        <f>G5/I5*B10</f>
        <v>27.42581854</v>
      </c>
    </row>
    <row r="11">
      <c r="B11" s="17">
        <v>1.0</v>
      </c>
      <c r="C11" s="34">
        <f>G5/I5*B11</f>
        <v>0.1828387903</v>
      </c>
    </row>
    <row r="13">
      <c r="B13" s="67" t="s">
        <v>241</v>
      </c>
      <c r="C13" s="68"/>
      <c r="D13" s="68"/>
      <c r="E13" s="68"/>
      <c r="F13" s="68"/>
      <c r="G13" s="68"/>
      <c r="H13" s="68"/>
      <c r="I13" s="68"/>
      <c r="J13" s="68"/>
      <c r="K13" s="68"/>
      <c r="L13" s="68"/>
      <c r="M13" s="69"/>
    </row>
    <row r="14">
      <c r="B14" s="4"/>
      <c r="C14" s="6" t="s">
        <v>223</v>
      </c>
      <c r="D14" s="6" t="s">
        <v>242</v>
      </c>
      <c r="G14" s="41"/>
    </row>
    <row r="15">
      <c r="B15" s="44" t="s">
        <v>277</v>
      </c>
      <c r="C15" s="84">
        <f>D15/D17</f>
        <v>0.5379107235</v>
      </c>
      <c r="D15" s="34">
        <f>C10</f>
        <v>27.42581854</v>
      </c>
      <c r="F15" s="72" t="s">
        <v>244</v>
      </c>
      <c r="G15" s="6">
        <v>10.0</v>
      </c>
      <c r="H15" s="6">
        <v>15.0</v>
      </c>
      <c r="I15" s="6">
        <v>20.0</v>
      </c>
    </row>
    <row r="16">
      <c r="B16" s="44" t="s">
        <v>113</v>
      </c>
      <c r="C16" s="84">
        <f>D16/D17</f>
        <v>0.4620892765</v>
      </c>
      <c r="D16" s="93">
        <f>I28</f>
        <v>23.56</v>
      </c>
      <c r="F16" s="72" t="s">
        <v>245</v>
      </c>
      <c r="G16" s="73">
        <f>D17*100/G15</f>
        <v>509.8581854</v>
      </c>
      <c r="H16" s="73">
        <f>D17*100/H15</f>
        <v>339.9054569</v>
      </c>
      <c r="I16" s="73">
        <f>D17*100/I15</f>
        <v>254.9290927</v>
      </c>
    </row>
    <row r="17">
      <c r="B17" s="6" t="s">
        <v>278</v>
      </c>
      <c r="C17" s="4"/>
      <c r="D17" s="34">
        <f>sum(D15,D16)</f>
        <v>50.98581854</v>
      </c>
      <c r="J17" s="41"/>
    </row>
    <row r="18">
      <c r="G18" s="94" t="s">
        <v>246</v>
      </c>
      <c r="H18" s="94" t="s">
        <v>247</v>
      </c>
      <c r="I18" s="94" t="s">
        <v>248</v>
      </c>
    </row>
    <row r="19">
      <c r="F19" s="6" t="s">
        <v>249</v>
      </c>
      <c r="G19" s="95">
        <v>2.0</v>
      </c>
      <c r="H19" s="96">
        <v>2.0</v>
      </c>
      <c r="I19" s="96">
        <v>2.0</v>
      </c>
    </row>
    <row r="20">
      <c r="B20" s="44" t="s">
        <v>256</v>
      </c>
      <c r="C20" s="46">
        <v>250.0</v>
      </c>
      <c r="D20" s="40">
        <f>C20+I28</f>
        <v>273.56</v>
      </c>
      <c r="F20" s="6" t="s">
        <v>250</v>
      </c>
      <c r="G20" s="75">
        <v>1.2</v>
      </c>
      <c r="H20" s="97">
        <v>1.2</v>
      </c>
      <c r="I20" s="97">
        <v>1.2</v>
      </c>
    </row>
    <row r="21">
      <c r="B21" s="6" t="s">
        <v>257</v>
      </c>
      <c r="C21" s="59">
        <f>I30/C20</f>
        <v>0.2039432742</v>
      </c>
      <c r="F21" s="6" t="s">
        <v>251</v>
      </c>
      <c r="G21" s="75">
        <v>0.34</v>
      </c>
      <c r="H21" s="97">
        <v>0.34</v>
      </c>
      <c r="I21" s="97">
        <v>0.34</v>
      </c>
    </row>
    <row r="22">
      <c r="B22" s="6" t="s">
        <v>258</v>
      </c>
      <c r="C22" s="59">
        <f>D15/C20</f>
        <v>0.1097032742</v>
      </c>
      <c r="F22" s="6" t="s">
        <v>252</v>
      </c>
      <c r="G22" s="95">
        <v>0.0</v>
      </c>
      <c r="H22" s="96">
        <v>2.0</v>
      </c>
      <c r="I22" s="96">
        <v>2.0</v>
      </c>
    </row>
    <row r="23">
      <c r="F23" s="6" t="s">
        <v>253</v>
      </c>
      <c r="G23" s="75">
        <v>2.5</v>
      </c>
      <c r="H23" s="97">
        <v>2.5</v>
      </c>
      <c r="I23" s="97">
        <v>2.5</v>
      </c>
    </row>
    <row r="24">
      <c r="B24" s="15" t="s">
        <v>204</v>
      </c>
      <c r="C24" s="78">
        <v>250.0</v>
      </c>
      <c r="F24" s="6" t="s">
        <v>288</v>
      </c>
      <c r="G24" s="95">
        <v>12.85</v>
      </c>
      <c r="H24" s="95">
        <v>12.85</v>
      </c>
      <c r="I24" s="95">
        <v>12.85</v>
      </c>
    </row>
    <row r="25">
      <c r="B25" s="15" t="s">
        <v>248</v>
      </c>
      <c r="C25" s="78">
        <v>350.0</v>
      </c>
      <c r="F25" s="6" t="s">
        <v>289</v>
      </c>
      <c r="G25" s="95">
        <v>2.67</v>
      </c>
      <c r="H25" s="96">
        <v>2.67</v>
      </c>
      <c r="I25" s="96">
        <v>2.67</v>
      </c>
    </row>
    <row r="26">
      <c r="B26" s="15" t="s">
        <v>396</v>
      </c>
      <c r="C26" s="39">
        <f>C24-D17</f>
        <v>199.0141815</v>
      </c>
      <c r="G26" s="95"/>
      <c r="H26" s="99"/>
      <c r="I26" s="99"/>
    </row>
    <row r="27">
      <c r="G27" s="95"/>
      <c r="H27" s="95"/>
      <c r="I27" s="95"/>
    </row>
    <row r="28">
      <c r="G28" s="100">
        <f t="shared" ref="G28:I28" si="5">SUM(G19:G27)</f>
        <v>21.56</v>
      </c>
      <c r="H28" s="100">
        <f t="shared" si="5"/>
        <v>23.56</v>
      </c>
      <c r="I28" s="100">
        <f t="shared" si="5"/>
        <v>23.56</v>
      </c>
    </row>
    <row r="29">
      <c r="G29" s="100"/>
      <c r="H29" s="100"/>
      <c r="I29" s="100"/>
    </row>
    <row r="30">
      <c r="G30" s="100"/>
      <c r="H30" s="100"/>
      <c r="I30" s="100">
        <f>D15+I28</f>
        <v>50.98581854</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
    <cfRule type="colorScale" priority="2">
      <colorScale>
        <cfvo type="min"/>
        <cfvo type="max"/>
        <color rgb="FFFFFFFF"/>
        <color rgb="FFE67C73"/>
      </colorScale>
    </cfRule>
  </conditionalFormatting>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397</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398</v>
      </c>
      <c r="B4" s="58">
        <v>50.0</v>
      </c>
      <c r="C4" s="58">
        <v>50.0</v>
      </c>
      <c r="D4" s="6" t="s">
        <v>237</v>
      </c>
      <c r="E4" s="6">
        <f t="shared" ref="E4:E5" si="2">B4-C4</f>
        <v>0</v>
      </c>
      <c r="F4" s="5">
        <f t="shared" ref="F4:F5" si="3">E4/B4*100</f>
        <v>0</v>
      </c>
      <c r="G4" s="34">
        <f>B4*'пф Сырный дип'!C20</f>
        <v>32.91177778</v>
      </c>
      <c r="H4" s="59">
        <f>G4/G5</f>
        <v>1</v>
      </c>
      <c r="I4" s="4"/>
    </row>
    <row r="5">
      <c r="A5" s="44" t="s">
        <v>227</v>
      </c>
      <c r="B5" s="4">
        <f t="shared" ref="B5:C5" si="1">SUM(B4)</f>
        <v>50</v>
      </c>
      <c r="C5" s="4">
        <f t="shared" si="1"/>
        <v>50</v>
      </c>
      <c r="D5" s="6" t="s">
        <v>237</v>
      </c>
      <c r="E5" s="6">
        <f t="shared" si="2"/>
        <v>0</v>
      </c>
      <c r="F5" s="5">
        <f t="shared" si="3"/>
        <v>0</v>
      </c>
      <c r="G5" s="60">
        <f t="shared" ref="G5:H5" si="4">SUM(G4)</f>
        <v>32.91177778</v>
      </c>
      <c r="H5" s="61">
        <f t="shared" si="4"/>
        <v>1</v>
      </c>
      <c r="I5" s="62">
        <f>C5</f>
        <v>50</v>
      </c>
    </row>
    <row r="7">
      <c r="A7" s="63" t="s">
        <v>238</v>
      </c>
    </row>
    <row r="8">
      <c r="A8" s="64" t="s">
        <v>399</v>
      </c>
      <c r="H8" s="65"/>
      <c r="I8" s="65"/>
    </row>
    <row r="9">
      <c r="B9" s="66" t="s">
        <v>208</v>
      </c>
      <c r="C9" s="66" t="s">
        <v>240</v>
      </c>
    </row>
    <row r="10">
      <c r="B10" s="17">
        <v>50.0</v>
      </c>
      <c r="C10" s="34">
        <f>G5/I5*B10</f>
        <v>32.91177778</v>
      </c>
    </row>
    <row r="11">
      <c r="B11" s="17">
        <v>1.0</v>
      </c>
      <c r="C11" s="34">
        <f>G5/I5*B11</f>
        <v>0.6582355556</v>
      </c>
    </row>
    <row r="13">
      <c r="B13" s="67" t="s">
        <v>241</v>
      </c>
      <c r="C13" s="68"/>
      <c r="D13" s="68"/>
      <c r="E13" s="68"/>
      <c r="F13" s="68"/>
      <c r="G13" s="68"/>
      <c r="H13" s="68"/>
      <c r="I13" s="68"/>
      <c r="J13" s="68"/>
      <c r="K13" s="68"/>
      <c r="L13" s="68"/>
      <c r="M13" s="69"/>
    </row>
    <row r="14">
      <c r="B14" s="4"/>
      <c r="C14" s="6" t="s">
        <v>223</v>
      </c>
      <c r="D14" s="6" t="s">
        <v>242</v>
      </c>
      <c r="G14" s="41"/>
    </row>
    <row r="15">
      <c r="B15" s="44" t="s">
        <v>277</v>
      </c>
      <c r="C15" s="84">
        <f>D15/D17</f>
        <v>0.8717941171</v>
      </c>
      <c r="D15" s="34">
        <f>C10</f>
        <v>32.91177778</v>
      </c>
      <c r="F15" s="72" t="s">
        <v>244</v>
      </c>
      <c r="G15" s="6">
        <v>10.0</v>
      </c>
      <c r="H15" s="6">
        <v>15.0</v>
      </c>
      <c r="I15" s="6">
        <v>20.0</v>
      </c>
    </row>
    <row r="16">
      <c r="B16" s="44" t="s">
        <v>113</v>
      </c>
      <c r="C16" s="84">
        <f>D16/D17</f>
        <v>0.1282058829</v>
      </c>
      <c r="D16" s="93">
        <f>I28</f>
        <v>4.84</v>
      </c>
      <c r="F16" s="72" t="s">
        <v>245</v>
      </c>
      <c r="G16" s="73">
        <f>D17*100/G15</f>
        <v>377.5177778</v>
      </c>
      <c r="H16" s="73">
        <f>D17*100/H15</f>
        <v>251.6785185</v>
      </c>
      <c r="I16" s="73">
        <f>D17*100/I15</f>
        <v>188.7588889</v>
      </c>
    </row>
    <row r="17">
      <c r="B17" s="6" t="s">
        <v>278</v>
      </c>
      <c r="C17" s="4"/>
      <c r="D17" s="34">
        <f>sum(D15,D16)</f>
        <v>37.75177778</v>
      </c>
      <c r="J17" s="41"/>
    </row>
    <row r="18">
      <c r="G18" s="94" t="s">
        <v>246</v>
      </c>
      <c r="H18" s="94" t="s">
        <v>247</v>
      </c>
      <c r="I18" s="94" t="s">
        <v>248</v>
      </c>
    </row>
    <row r="19">
      <c r="F19" s="6" t="s">
        <v>249</v>
      </c>
      <c r="G19" s="95"/>
      <c r="H19" s="96"/>
      <c r="I19" s="96"/>
    </row>
    <row r="20">
      <c r="B20" s="44" t="s">
        <v>256</v>
      </c>
      <c r="C20" s="46">
        <v>130.0</v>
      </c>
      <c r="D20" s="40">
        <f>C20+I28</f>
        <v>134.84</v>
      </c>
      <c r="F20" s="6" t="s">
        <v>250</v>
      </c>
      <c r="G20" s="75"/>
      <c r="H20" s="97"/>
      <c r="I20" s="97"/>
    </row>
    <row r="21">
      <c r="B21" s="6" t="s">
        <v>257</v>
      </c>
      <c r="C21" s="59">
        <f>I30/C20</f>
        <v>0.2903982906</v>
      </c>
      <c r="F21" s="6" t="s">
        <v>251</v>
      </c>
      <c r="G21" s="75"/>
      <c r="H21" s="97"/>
      <c r="I21" s="97"/>
    </row>
    <row r="22">
      <c r="B22" s="6" t="s">
        <v>258</v>
      </c>
      <c r="C22" s="59">
        <f>D15/C20</f>
        <v>0.2531675214</v>
      </c>
      <c r="F22" s="6" t="s">
        <v>252</v>
      </c>
      <c r="G22" s="95"/>
      <c r="H22" s="96"/>
      <c r="I22" s="96"/>
    </row>
    <row r="23">
      <c r="F23" s="6" t="s">
        <v>253</v>
      </c>
      <c r="G23" s="75"/>
      <c r="H23" s="97"/>
      <c r="I23" s="97">
        <v>2.6</v>
      </c>
    </row>
    <row r="24">
      <c r="B24" s="15" t="s">
        <v>204</v>
      </c>
      <c r="C24" s="78">
        <f>C20</f>
        <v>130</v>
      </c>
      <c r="F24" s="6"/>
      <c r="G24" s="95" t="s">
        <v>400</v>
      </c>
      <c r="H24" s="95"/>
      <c r="I24" s="95"/>
    </row>
    <row r="25">
      <c r="B25" s="15" t="s">
        <v>248</v>
      </c>
      <c r="C25" s="78">
        <f>C24/70*100</f>
        <v>185.7142857</v>
      </c>
      <c r="F25" s="6" t="s">
        <v>254</v>
      </c>
      <c r="G25" s="95"/>
      <c r="H25" s="96"/>
      <c r="I25" s="96">
        <v>2.24</v>
      </c>
    </row>
    <row r="26">
      <c r="B26" s="15" t="s">
        <v>396</v>
      </c>
      <c r="C26" s="39">
        <f>C24-D17</f>
        <v>92.24822222</v>
      </c>
      <c r="G26" s="95"/>
      <c r="H26" s="99"/>
      <c r="I26" s="99"/>
    </row>
    <row r="27">
      <c r="G27" s="95"/>
      <c r="H27" s="95"/>
      <c r="I27" s="95"/>
    </row>
    <row r="28">
      <c r="G28" s="100">
        <f t="shared" ref="G28:I28" si="5">SUM(G19:G27)</f>
        <v>0</v>
      </c>
      <c r="H28" s="100">
        <f t="shared" si="5"/>
        <v>0</v>
      </c>
      <c r="I28" s="100">
        <f t="shared" si="5"/>
        <v>4.84</v>
      </c>
    </row>
    <row r="29">
      <c r="G29" s="100"/>
      <c r="H29" s="100"/>
      <c r="I29" s="100"/>
    </row>
    <row r="30">
      <c r="G30" s="100"/>
      <c r="H30" s="100"/>
      <c r="I30" s="100">
        <f>D15+I28</f>
        <v>37.75177778</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
    <cfRule type="colorScale" priority="2">
      <colorScale>
        <cfvo type="min"/>
        <cfvo type="max"/>
        <color rgb="FFFFFFFF"/>
        <color rgb="FFE67C73"/>
      </colorScale>
    </cfRule>
  </conditionalFormatting>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 customWidth="1" min="2" max="2" width="26.57"/>
  </cols>
  <sheetData>
    <row r="1">
      <c r="A1" s="48" t="s">
        <v>228</v>
      </c>
      <c r="B1" s="49" t="s">
        <v>401</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92" t="s">
        <v>286</v>
      </c>
      <c r="B4" s="58">
        <v>100.0</v>
      </c>
      <c r="C4" s="58">
        <v>100.0</v>
      </c>
      <c r="D4" s="6" t="s">
        <v>237</v>
      </c>
      <c r="E4" s="6">
        <f t="shared" ref="E4:E5" si="2">B4-C4</f>
        <v>0</v>
      </c>
      <c r="F4" s="5">
        <f t="shared" ref="F4:F5" si="3">E4/B4*100</f>
        <v>0</v>
      </c>
      <c r="G4" s="34">
        <f>B4*'пф Топинг шоколадный'!D23</f>
        <v>23.71656713</v>
      </c>
      <c r="H4" s="59">
        <f t="shared" ref="H4:H5" si="4">G4/$G$5</f>
        <v>1</v>
      </c>
      <c r="I4" s="4"/>
    </row>
    <row r="5">
      <c r="A5" s="44" t="s">
        <v>227</v>
      </c>
      <c r="B5" s="4">
        <f t="shared" ref="B5:C5" si="1">SUM(B4)</f>
        <v>100</v>
      </c>
      <c r="C5" s="4">
        <f t="shared" si="1"/>
        <v>100</v>
      </c>
      <c r="D5" s="6" t="s">
        <v>237</v>
      </c>
      <c r="E5" s="6">
        <f t="shared" si="2"/>
        <v>0</v>
      </c>
      <c r="F5" s="5">
        <f t="shared" si="3"/>
        <v>0</v>
      </c>
      <c r="G5" s="60">
        <f>SUM(G4)</f>
        <v>23.71656713</v>
      </c>
      <c r="H5" s="59">
        <f t="shared" si="4"/>
        <v>1</v>
      </c>
      <c r="I5" s="62">
        <v>50.0</v>
      </c>
    </row>
    <row r="7">
      <c r="A7" s="63" t="s">
        <v>238</v>
      </c>
    </row>
    <row r="8">
      <c r="A8" s="64"/>
      <c r="H8" s="65"/>
      <c r="I8" s="65"/>
    </row>
    <row r="9">
      <c r="B9" s="66" t="s">
        <v>208</v>
      </c>
      <c r="C9" s="66" t="s">
        <v>240</v>
      </c>
    </row>
    <row r="10">
      <c r="B10" s="17">
        <v>50.0</v>
      </c>
      <c r="C10" s="34">
        <f>C11*B10</f>
        <v>23.71656713</v>
      </c>
    </row>
    <row r="11">
      <c r="B11" s="17">
        <v>1.0</v>
      </c>
      <c r="C11" s="34">
        <f>G5/I5*B11</f>
        <v>0.4743313426</v>
      </c>
    </row>
    <row r="13">
      <c r="B13" s="67" t="s">
        <v>241</v>
      </c>
      <c r="C13" s="68"/>
      <c r="D13" s="68"/>
      <c r="E13" s="68"/>
      <c r="F13" s="68"/>
      <c r="G13" s="68"/>
      <c r="H13" s="68"/>
      <c r="I13" s="68"/>
      <c r="J13" s="68"/>
      <c r="K13" s="68"/>
      <c r="L13" s="68"/>
      <c r="M13" s="69"/>
    </row>
    <row r="14">
      <c r="B14" s="4"/>
      <c r="C14" s="6" t="s">
        <v>223</v>
      </c>
      <c r="D14" s="6" t="s">
        <v>242</v>
      </c>
      <c r="G14" s="41"/>
    </row>
    <row r="15">
      <c r="B15" s="44" t="s">
        <v>277</v>
      </c>
      <c r="C15" s="84">
        <f>D15/D18</f>
        <v>0.7994735681</v>
      </c>
      <c r="D15" s="34">
        <f>C10</f>
        <v>23.71656713</v>
      </c>
      <c r="F15" s="72" t="s">
        <v>244</v>
      </c>
      <c r="G15" s="6">
        <v>10.0</v>
      </c>
      <c r="H15" s="6">
        <v>15.0</v>
      </c>
      <c r="I15" s="6">
        <v>20.0</v>
      </c>
    </row>
    <row r="16">
      <c r="B16" s="44" t="s">
        <v>249</v>
      </c>
      <c r="C16" s="85">
        <v>0.04</v>
      </c>
      <c r="D16" s="86">
        <f>D15*C16</f>
        <v>0.9486626852</v>
      </c>
      <c r="F16" s="72" t="s">
        <v>245</v>
      </c>
      <c r="G16" s="73">
        <f>D18*100/G15</f>
        <v>296.6522982</v>
      </c>
      <c r="H16" s="73">
        <f>D18*100/H15</f>
        <v>197.7681988</v>
      </c>
      <c r="I16" s="73">
        <f>D18*100/I15</f>
        <v>148.3261491</v>
      </c>
    </row>
    <row r="17">
      <c r="B17" s="44" t="s">
        <v>113</v>
      </c>
      <c r="C17" s="84">
        <f>D17/D18</f>
        <v>0.1685474891</v>
      </c>
      <c r="D17" s="6">
        <v>5.0</v>
      </c>
      <c r="G17" s="41"/>
    </row>
    <row r="18">
      <c r="B18" s="6" t="s">
        <v>278</v>
      </c>
      <c r="C18" s="4"/>
      <c r="D18" s="34">
        <f>SUM(D15:D17)</f>
        <v>29.66522982</v>
      </c>
      <c r="G18" s="94" t="s">
        <v>246</v>
      </c>
      <c r="H18" s="94" t="s">
        <v>247</v>
      </c>
      <c r="I18" s="94" t="s">
        <v>248</v>
      </c>
    </row>
    <row r="19">
      <c r="F19" s="6" t="s">
        <v>249</v>
      </c>
      <c r="G19" s="95">
        <v>2.0</v>
      </c>
      <c r="H19" s="96">
        <v>2.0</v>
      </c>
      <c r="I19" s="96">
        <v>2.0</v>
      </c>
    </row>
    <row r="20">
      <c r="B20" s="44" t="s">
        <v>256</v>
      </c>
      <c r="C20" s="46">
        <v>85.0</v>
      </c>
      <c r="D20" s="40">
        <f>C20+I28</f>
        <v>97.61</v>
      </c>
      <c r="F20" s="6" t="s">
        <v>250</v>
      </c>
      <c r="G20" s="75">
        <v>1.2</v>
      </c>
      <c r="H20" s="97">
        <v>1.2</v>
      </c>
      <c r="I20" s="97">
        <v>1.2</v>
      </c>
    </row>
    <row r="21">
      <c r="B21" s="6" t="s">
        <v>257</v>
      </c>
      <c r="C21" s="59">
        <f>I30/C20</f>
        <v>0.427371378</v>
      </c>
      <c r="F21" s="6" t="s">
        <v>251</v>
      </c>
      <c r="G21" s="75">
        <v>0.34</v>
      </c>
      <c r="H21" s="97">
        <v>0.34</v>
      </c>
      <c r="I21" s="97">
        <v>0.34</v>
      </c>
    </row>
    <row r="22">
      <c r="B22" s="6" t="s">
        <v>258</v>
      </c>
      <c r="C22" s="59">
        <f>D15/C20</f>
        <v>0.2790184368</v>
      </c>
      <c r="F22" s="6" t="s">
        <v>252</v>
      </c>
      <c r="G22" s="95">
        <v>0.0</v>
      </c>
      <c r="H22" s="96">
        <v>2.0</v>
      </c>
      <c r="I22" s="96">
        <v>2.0</v>
      </c>
    </row>
    <row r="23">
      <c r="F23" s="6" t="s">
        <v>253</v>
      </c>
      <c r="G23" s="75">
        <v>2.5</v>
      </c>
      <c r="H23" s="97">
        <v>2.5</v>
      </c>
      <c r="I23" s="97">
        <v>2.5</v>
      </c>
    </row>
    <row r="24">
      <c r="B24" s="15" t="s">
        <v>204</v>
      </c>
      <c r="C24" s="78">
        <v>100.0</v>
      </c>
      <c r="F24" s="6" t="s">
        <v>254</v>
      </c>
      <c r="G24" s="95">
        <v>1.9</v>
      </c>
      <c r="H24" s="95">
        <v>1.9</v>
      </c>
      <c r="I24" s="95">
        <v>1.9</v>
      </c>
    </row>
    <row r="25">
      <c r="B25" s="15" t="s">
        <v>248</v>
      </c>
      <c r="C25" s="78">
        <v>145.0</v>
      </c>
      <c r="F25" s="6" t="s">
        <v>289</v>
      </c>
      <c r="G25" s="95">
        <v>2.67</v>
      </c>
      <c r="H25" s="96">
        <v>2.67</v>
      </c>
      <c r="I25" s="96">
        <v>2.67</v>
      </c>
    </row>
    <row r="26">
      <c r="G26" s="95"/>
      <c r="H26" s="99"/>
      <c r="I26" s="99"/>
    </row>
    <row r="27">
      <c r="G27" s="95"/>
      <c r="H27" s="95"/>
      <c r="I27" s="95"/>
    </row>
    <row r="28">
      <c r="G28" s="100">
        <f t="shared" ref="G28:I28" si="5">SUM(G19:G27)</f>
        <v>10.61</v>
      </c>
      <c r="H28" s="100">
        <f t="shared" si="5"/>
        <v>12.61</v>
      </c>
      <c r="I28" s="100">
        <f t="shared" si="5"/>
        <v>12.61</v>
      </c>
    </row>
    <row r="29">
      <c r="G29" s="100"/>
      <c r="H29" s="100"/>
      <c r="I29" s="100"/>
    </row>
    <row r="30">
      <c r="G30" s="100"/>
      <c r="H30" s="100"/>
      <c r="I30" s="100">
        <f>D15+I28</f>
        <v>36.32656713</v>
      </c>
    </row>
  </sheetData>
  <mergeCells count="5">
    <mergeCell ref="A1:A2"/>
    <mergeCell ref="B1:I2"/>
    <mergeCell ref="A7:I7"/>
    <mergeCell ref="A8:G8"/>
    <mergeCell ref="B13:M13"/>
  </mergeCells>
  <conditionalFormatting sqref="G15:I15">
    <cfRule type="colorScale" priority="1">
      <colorScale>
        <cfvo type="min"/>
        <cfvo type="percentile" val="50"/>
        <cfvo type="max"/>
        <color rgb="FF57BB8A"/>
        <color rgb="FFFFD666"/>
        <color rgb="FFE67C73"/>
      </colorScale>
    </cfRule>
  </conditionalFormatting>
  <conditionalFormatting sqref="H4:H5">
    <cfRule type="colorScale" priority="2">
      <colorScale>
        <cfvo type="min"/>
        <cfvo type="max"/>
        <color rgb="FFFFFFFF"/>
        <color rgb="FFE67C73"/>
      </colorScale>
    </cfRule>
  </conditionalFormatting>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286</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167</v>
      </c>
      <c r="B4" s="6">
        <v>1000.0</v>
      </c>
      <c r="C4" s="6">
        <v>1000.0</v>
      </c>
      <c r="D4" s="4" t="s">
        <v>6</v>
      </c>
      <c r="E4" s="17">
        <f t="shared" ref="E4:E10" si="1">B4-C4</f>
        <v>0</v>
      </c>
      <c r="F4" s="5">
        <f t="shared" ref="F4:F10" si="2">E4/B4*100</f>
        <v>0</v>
      </c>
      <c r="G4" s="5">
        <f>VLOOKUP(A4,'Матрица поставщиков'!A1:E520,5,0) * B4</f>
        <v>130</v>
      </c>
      <c r="H4" s="59">
        <f t="shared" ref="H4:H10" si="3">G4/$G$11</f>
        <v>0.3253056603</v>
      </c>
      <c r="I4" s="103"/>
    </row>
    <row r="5">
      <c r="A5" s="6" t="s">
        <v>168</v>
      </c>
      <c r="B5" s="6">
        <v>80.0</v>
      </c>
      <c r="C5" s="6">
        <v>80.0</v>
      </c>
      <c r="D5" s="4" t="s">
        <v>6</v>
      </c>
      <c r="E5" s="17">
        <f t="shared" si="1"/>
        <v>0</v>
      </c>
      <c r="F5" s="5">
        <f t="shared" si="2"/>
        <v>0</v>
      </c>
      <c r="G5" s="5">
        <f>VLOOKUP(A5,'Матрица поставщиков'!A2:E530,5,0) * B5</f>
        <v>90.37837838</v>
      </c>
      <c r="H5" s="59">
        <f t="shared" si="3"/>
        <v>0.2261584466</v>
      </c>
      <c r="I5" s="81"/>
    </row>
    <row r="6">
      <c r="A6" s="6" t="s">
        <v>16</v>
      </c>
      <c r="B6" s="6">
        <v>100.0</v>
      </c>
      <c r="C6" s="6">
        <v>67.0</v>
      </c>
      <c r="D6" s="4" t="s">
        <v>6</v>
      </c>
      <c r="E6" s="17">
        <f t="shared" si="1"/>
        <v>33</v>
      </c>
      <c r="F6" s="5">
        <f t="shared" si="2"/>
        <v>33</v>
      </c>
      <c r="G6" s="5">
        <f>VLOOKUP(A6,'Матрица поставщиков'!A3:E54,5,0) * B6</f>
        <v>99.77777778</v>
      </c>
      <c r="H6" s="59">
        <f t="shared" si="3"/>
        <v>0.2496790453</v>
      </c>
      <c r="I6" s="81"/>
    </row>
    <row r="7">
      <c r="A7" s="25" t="s">
        <v>110</v>
      </c>
      <c r="B7" s="120">
        <v>1.0</v>
      </c>
      <c r="C7" s="6">
        <v>1.0</v>
      </c>
      <c r="D7" s="4" t="s">
        <v>6</v>
      </c>
      <c r="E7" s="17">
        <f t="shared" si="1"/>
        <v>0</v>
      </c>
      <c r="F7" s="5">
        <f t="shared" si="2"/>
        <v>0</v>
      </c>
      <c r="G7" s="5">
        <f>VLOOKUP(A7,'Матрица поставщиков'!A4:E55,5,0) * B7</f>
        <v>2.3</v>
      </c>
      <c r="H7" s="59">
        <f t="shared" si="3"/>
        <v>0.005755407837</v>
      </c>
      <c r="I7" s="81"/>
    </row>
    <row r="8">
      <c r="A8" s="6" t="s">
        <v>51</v>
      </c>
      <c r="B8" s="120">
        <v>1.0</v>
      </c>
      <c r="C8" s="6">
        <v>1.0</v>
      </c>
      <c r="D8" s="4" t="s">
        <v>6</v>
      </c>
      <c r="E8" s="32">
        <f t="shared" si="1"/>
        <v>0</v>
      </c>
      <c r="F8" s="5">
        <f t="shared" si="2"/>
        <v>0</v>
      </c>
      <c r="G8" s="5">
        <f>VLOOKUP(A8,'Матрица поставщиков'!A1:E560,5,0) * B8</f>
        <v>1.34</v>
      </c>
      <c r="H8" s="59">
        <f t="shared" si="3"/>
        <v>0.003353150653</v>
      </c>
      <c r="I8" s="81"/>
    </row>
    <row r="9">
      <c r="A9" s="6" t="s">
        <v>150</v>
      </c>
      <c r="B9" s="120">
        <v>1.0</v>
      </c>
      <c r="C9" s="6">
        <v>1.0</v>
      </c>
      <c r="D9" s="4" t="s">
        <v>6</v>
      </c>
      <c r="E9" s="17">
        <f t="shared" si="1"/>
        <v>0</v>
      </c>
      <c r="F9" s="5">
        <f t="shared" si="2"/>
        <v>0</v>
      </c>
      <c r="G9" s="5">
        <f>VLOOKUP(A9,'Матрица поставщиков'!A1:E5780,5,0) * B9</f>
        <v>4.5</v>
      </c>
      <c r="H9" s="59">
        <f t="shared" si="3"/>
        <v>0.01126058055</v>
      </c>
      <c r="I9" s="81"/>
    </row>
    <row r="10">
      <c r="A10" s="135" t="s">
        <v>403</v>
      </c>
      <c r="B10" s="120">
        <v>170.0</v>
      </c>
      <c r="C10" s="6">
        <v>170.0</v>
      </c>
      <c r="D10" s="4" t="s">
        <v>6</v>
      </c>
      <c r="E10" s="17">
        <f t="shared" si="1"/>
        <v>0</v>
      </c>
      <c r="F10" s="5">
        <f t="shared" si="2"/>
        <v>0</v>
      </c>
      <c r="G10" s="5">
        <f>'пф тахини'!M5*B10</f>
        <v>71.328</v>
      </c>
      <c r="H10" s="59">
        <f t="shared" si="3"/>
        <v>0.1784877088</v>
      </c>
      <c r="I10" s="52"/>
    </row>
    <row r="11">
      <c r="A11" s="44" t="s">
        <v>227</v>
      </c>
      <c r="B11" s="93">
        <f t="shared" ref="B11:C11" si="4">SUM(B3:B10)</f>
        <v>1353</v>
      </c>
      <c r="C11" s="93">
        <f t="shared" si="4"/>
        <v>1320</v>
      </c>
      <c r="D11" s="82" t="s">
        <v>275</v>
      </c>
      <c r="E11" s="32">
        <f t="shared" ref="E11:H11" si="5">SUM(E4:E10)</f>
        <v>33</v>
      </c>
      <c r="F11" s="136">
        <f t="shared" si="5"/>
        <v>33</v>
      </c>
      <c r="G11" s="60">
        <f t="shared" si="5"/>
        <v>399.6241562</v>
      </c>
      <c r="H11" s="137">
        <f t="shared" si="5"/>
        <v>1</v>
      </c>
      <c r="I11" s="104">
        <v>1685.0</v>
      </c>
    </row>
    <row r="12">
      <c r="E12" s="42"/>
      <c r="F12" s="40"/>
      <c r="G12" s="42"/>
      <c r="H12" s="42"/>
    </row>
    <row r="13">
      <c r="A13" s="63" t="s">
        <v>238</v>
      </c>
    </row>
    <row r="14">
      <c r="A14" s="64" t="s">
        <v>404</v>
      </c>
      <c r="H14" s="138"/>
      <c r="I14" s="138"/>
      <c r="J14" s="138"/>
      <c r="K14" s="138"/>
      <c r="L14" s="138"/>
      <c r="M14" s="138"/>
      <c r="N14" s="138"/>
      <c r="O14" s="138"/>
      <c r="P14" s="138"/>
      <c r="Q14" s="138"/>
      <c r="R14" s="138"/>
      <c r="S14" s="138"/>
      <c r="T14" s="138"/>
      <c r="U14" s="138"/>
      <c r="V14" s="138"/>
      <c r="W14" s="138"/>
      <c r="X14" s="138"/>
      <c r="Y14" s="138"/>
    </row>
    <row r="15">
      <c r="E15" s="42"/>
      <c r="F15" s="40"/>
      <c r="G15" s="42"/>
      <c r="H15" s="42"/>
    </row>
    <row r="16">
      <c r="C16" s="66" t="s">
        <v>208</v>
      </c>
      <c r="D16" s="66" t="s">
        <v>240</v>
      </c>
      <c r="E16" s="42"/>
      <c r="F16" s="40"/>
      <c r="G16" s="42"/>
      <c r="H16" s="42"/>
    </row>
    <row r="17">
      <c r="C17" s="17">
        <v>100.0</v>
      </c>
      <c r="D17" s="131">
        <f>G11/I11*C17</f>
        <v>23.71656713</v>
      </c>
      <c r="E17" s="42"/>
      <c r="F17" s="40"/>
      <c r="G17" s="139" t="s">
        <v>405</v>
      </c>
      <c r="H17" s="139">
        <v>38.7</v>
      </c>
    </row>
    <row r="18">
      <c r="C18" s="17">
        <v>1000.0</v>
      </c>
      <c r="D18" s="140">
        <f>G11/I11*C18</f>
        <v>237.1656713</v>
      </c>
      <c r="E18" s="42"/>
      <c r="F18" s="40"/>
      <c r="G18" s="139" t="s">
        <v>406</v>
      </c>
      <c r="H18" s="139">
        <v>150.0</v>
      </c>
      <c r="I18" s="15" t="s">
        <v>407</v>
      </c>
    </row>
    <row r="19">
      <c r="E19" s="42"/>
      <c r="F19" s="40"/>
      <c r="G19" s="42"/>
      <c r="H19" s="42"/>
    </row>
    <row r="20">
      <c r="E20" s="42"/>
      <c r="F20" s="40"/>
      <c r="G20" s="42"/>
      <c r="H20" s="42"/>
    </row>
    <row r="21" ht="15.75" customHeight="1">
      <c r="C21" s="66" t="s">
        <v>208</v>
      </c>
      <c r="D21" s="66" t="s">
        <v>240</v>
      </c>
      <c r="E21" s="42"/>
      <c r="F21" s="40"/>
      <c r="G21" s="42"/>
      <c r="H21" s="42"/>
    </row>
    <row r="22" ht="15.75" customHeight="1">
      <c r="C22" s="17">
        <v>100.0</v>
      </c>
      <c r="D22" s="34">
        <f>G11/I11*C22</f>
        <v>23.71656713</v>
      </c>
      <c r="E22" s="42"/>
      <c r="F22" s="40"/>
      <c r="G22" s="42"/>
      <c r="H22" s="42"/>
    </row>
    <row r="23" ht="15.75" customHeight="1">
      <c r="C23" s="17">
        <v>1.0</v>
      </c>
      <c r="D23" s="34">
        <f>G11/I11*C23</f>
        <v>0.2371656713</v>
      </c>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sheetData>
  <autoFilter ref="$A$3:$H$10">
    <sortState ref="A3:H10">
      <sortCondition descending="1" ref="H3:H10"/>
    </sortState>
  </autoFilter>
  <mergeCells count="5">
    <mergeCell ref="A1:A2"/>
    <mergeCell ref="B1:I2"/>
    <mergeCell ref="I4:I10"/>
    <mergeCell ref="A13:I13"/>
    <mergeCell ref="A14:G14"/>
  </mergeCells>
  <conditionalFormatting sqref="H4:H10">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6.14"/>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285</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141" t="s">
        <v>16</v>
      </c>
      <c r="B4" s="58">
        <v>200.0</v>
      </c>
      <c r="C4" s="58">
        <v>200.0</v>
      </c>
      <c r="D4" s="4" t="s">
        <v>6</v>
      </c>
      <c r="E4" s="17">
        <f t="shared" ref="E4:E10" si="1">B4-C4</f>
        <v>0</v>
      </c>
      <c r="F4" s="5">
        <f t="shared" ref="F4:F10" si="2">E4/B4*100</f>
        <v>0</v>
      </c>
      <c r="G4" s="5">
        <f>VLOOKUP(A4,'Матрица поставщиков'!A1:E520,5,0) * B4</f>
        <v>199.5555556</v>
      </c>
      <c r="H4" s="59">
        <f t="shared" ref="H4:H10" si="3">G4/$G$11</f>
        <v>0.6458159683</v>
      </c>
      <c r="I4" s="103"/>
    </row>
    <row r="5">
      <c r="A5" s="28" t="s">
        <v>27</v>
      </c>
      <c r="B5" s="58">
        <v>400.0</v>
      </c>
      <c r="C5" s="58">
        <v>400.0</v>
      </c>
      <c r="D5" s="4" t="s">
        <v>6</v>
      </c>
      <c r="E5" s="17">
        <f t="shared" si="1"/>
        <v>0</v>
      </c>
      <c r="F5" s="5">
        <f t="shared" si="2"/>
        <v>0</v>
      </c>
      <c r="G5" s="5">
        <f>VLOOKUP(A5,'Матрица поставщиков'!A3:E54,5,0) * B5</f>
        <v>34.5</v>
      </c>
      <c r="H5" s="59">
        <f t="shared" si="3"/>
        <v>0.1116513687</v>
      </c>
      <c r="I5" s="81"/>
    </row>
    <row r="6">
      <c r="A6" s="28" t="s">
        <v>15</v>
      </c>
      <c r="B6" s="58">
        <v>400.0</v>
      </c>
      <c r="C6" s="58">
        <v>400.0</v>
      </c>
      <c r="D6" s="4" t="s">
        <v>6</v>
      </c>
      <c r="E6" s="17">
        <f t="shared" si="1"/>
        <v>0</v>
      </c>
      <c r="F6" s="5">
        <f t="shared" si="2"/>
        <v>0</v>
      </c>
      <c r="G6" s="5">
        <f>VLOOKUP(A6,'Матрица поставщиков'!A4:E55,5,0) * B6</f>
        <v>27.6</v>
      </c>
      <c r="H6" s="59">
        <f t="shared" si="3"/>
        <v>0.08932109495</v>
      </c>
      <c r="I6" s="81"/>
    </row>
    <row r="7">
      <c r="A7" s="6" t="s">
        <v>393</v>
      </c>
      <c r="B7" s="58">
        <v>800.0</v>
      </c>
      <c r="C7" s="58">
        <v>600.0</v>
      </c>
      <c r="D7" s="4" t="s">
        <v>6</v>
      </c>
      <c r="E7" s="17">
        <f t="shared" si="1"/>
        <v>200</v>
      </c>
      <c r="F7" s="5">
        <f t="shared" si="2"/>
        <v>25</v>
      </c>
      <c r="G7" s="5">
        <f>VLOOKUP(A7,'Матрица поставщиков'!A1:E5780,5,0) * B7</f>
        <v>0</v>
      </c>
      <c r="H7" s="59">
        <f t="shared" si="3"/>
        <v>0</v>
      </c>
      <c r="I7" s="81"/>
    </row>
    <row r="8">
      <c r="A8" s="28" t="s">
        <v>110</v>
      </c>
      <c r="B8" s="58">
        <v>1.0</v>
      </c>
      <c r="C8" s="58">
        <v>1.0</v>
      </c>
      <c r="D8" s="4" t="s">
        <v>6</v>
      </c>
      <c r="E8" s="17">
        <f t="shared" si="1"/>
        <v>0</v>
      </c>
      <c r="F8" s="5">
        <f t="shared" si="2"/>
        <v>0</v>
      </c>
      <c r="G8" s="5">
        <f>VLOOKUP(A8,'Матрица поставщиков'!A2:E5781,5,0) * B8</f>
        <v>2.3</v>
      </c>
      <c r="H8" s="59">
        <f t="shared" si="3"/>
        <v>0.007443424579</v>
      </c>
      <c r="I8" s="52"/>
    </row>
    <row r="9">
      <c r="A9" s="11" t="s">
        <v>17</v>
      </c>
      <c r="B9" s="58">
        <v>1.0</v>
      </c>
      <c r="C9" s="58">
        <v>1.0</v>
      </c>
      <c r="D9" s="4" t="s">
        <v>6</v>
      </c>
      <c r="E9" s="17">
        <f t="shared" si="1"/>
        <v>0</v>
      </c>
      <c r="F9" s="5">
        <f t="shared" si="2"/>
        <v>0</v>
      </c>
      <c r="G9" s="5">
        <f>VLOOKUP(A9,'Матрица поставщиков'!A3:E5782,5,0) * B9</f>
        <v>0.042</v>
      </c>
      <c r="H9" s="59">
        <f t="shared" si="3"/>
        <v>0.0001359234054</v>
      </c>
      <c r="I9" s="126"/>
    </row>
    <row r="10">
      <c r="A10" s="92" t="s">
        <v>150</v>
      </c>
      <c r="B10" s="58">
        <v>10.0</v>
      </c>
      <c r="C10" s="58">
        <v>10.0</v>
      </c>
      <c r="D10" s="4" t="s">
        <v>6</v>
      </c>
      <c r="E10" s="17">
        <f t="shared" si="1"/>
        <v>0</v>
      </c>
      <c r="F10" s="5">
        <f t="shared" si="2"/>
        <v>0</v>
      </c>
      <c r="G10" s="5">
        <f>VLOOKUP(A10,'Матрица поставщиков'!A4:E5783,5,0) * B10</f>
        <v>45</v>
      </c>
      <c r="H10" s="59">
        <f t="shared" si="3"/>
        <v>0.14563222</v>
      </c>
      <c r="I10" s="126"/>
    </row>
    <row r="11">
      <c r="A11" s="44" t="s">
        <v>227</v>
      </c>
      <c r="B11" s="93">
        <f t="shared" ref="B11:C11" si="4">SUM(B3:B8)</f>
        <v>1801</v>
      </c>
      <c r="C11" s="93">
        <f t="shared" si="4"/>
        <v>1601</v>
      </c>
      <c r="D11" s="82" t="s">
        <v>275</v>
      </c>
      <c r="E11" s="32">
        <f t="shared" ref="E11:F11" si="5">SUM(E4:E8)</f>
        <v>200</v>
      </c>
      <c r="F11" s="136">
        <f t="shared" si="5"/>
        <v>25</v>
      </c>
      <c r="G11" s="60">
        <f>SUM(G4:G10)</f>
        <v>308.9975556</v>
      </c>
      <c r="H11" s="137">
        <f>SUM(H4:H8)</f>
        <v>0.8542318566</v>
      </c>
      <c r="I11" s="104">
        <v>1690.0</v>
      </c>
    </row>
    <row r="12">
      <c r="E12" s="42"/>
      <c r="F12" s="40"/>
      <c r="G12" s="42"/>
      <c r="H12" s="42"/>
    </row>
    <row r="13">
      <c r="A13" s="63" t="s">
        <v>238</v>
      </c>
    </row>
    <row r="14">
      <c r="A14" s="64" t="s">
        <v>408</v>
      </c>
      <c r="H14" s="138"/>
      <c r="I14" s="138"/>
      <c r="J14" s="138"/>
      <c r="K14" s="138"/>
      <c r="L14" s="138"/>
      <c r="M14" s="138"/>
      <c r="N14" s="138"/>
      <c r="O14" s="138"/>
      <c r="P14" s="138"/>
      <c r="Q14" s="138"/>
      <c r="R14" s="138"/>
      <c r="S14" s="138"/>
      <c r="T14" s="138"/>
      <c r="U14" s="138"/>
      <c r="V14" s="138"/>
      <c r="W14" s="138"/>
      <c r="X14" s="138"/>
      <c r="Y14" s="138"/>
    </row>
    <row r="15">
      <c r="E15" s="42"/>
      <c r="F15" s="40"/>
      <c r="G15" s="42"/>
      <c r="H15" s="42"/>
    </row>
    <row r="16">
      <c r="C16" s="66" t="s">
        <v>208</v>
      </c>
      <c r="D16" s="66" t="s">
        <v>240</v>
      </c>
      <c r="E16" s="42"/>
      <c r="F16" s="40"/>
      <c r="G16" s="42"/>
      <c r="H16" s="42"/>
    </row>
    <row r="17">
      <c r="C17" s="17">
        <v>100.0</v>
      </c>
      <c r="D17" s="131">
        <f>G11/I11*C17</f>
        <v>18.28387903</v>
      </c>
      <c r="E17" s="42"/>
      <c r="F17" s="40"/>
      <c r="G17" s="139"/>
      <c r="H17" s="139"/>
    </row>
    <row r="18">
      <c r="C18" s="17">
        <v>1000.0</v>
      </c>
      <c r="D18" s="140">
        <f>G11/I11*C18</f>
        <v>182.8387903</v>
      </c>
      <c r="E18" s="42"/>
      <c r="F18" s="40"/>
      <c r="G18" s="139"/>
      <c r="H18" s="139"/>
    </row>
    <row r="19">
      <c r="E19" s="42"/>
      <c r="F19" s="40"/>
      <c r="G19" s="42"/>
      <c r="H19" s="42"/>
    </row>
    <row r="20">
      <c r="E20" s="42"/>
      <c r="F20" s="40"/>
      <c r="G20" s="42"/>
      <c r="H20" s="42"/>
    </row>
    <row r="21" ht="15.75" customHeight="1">
      <c r="C21" s="66" t="s">
        <v>208</v>
      </c>
      <c r="D21" s="66" t="s">
        <v>240</v>
      </c>
      <c r="E21" s="42"/>
      <c r="F21" s="40"/>
      <c r="G21" s="42"/>
      <c r="H21" s="42"/>
    </row>
    <row r="22" ht="15.75" customHeight="1">
      <c r="C22" s="17">
        <v>100.0</v>
      </c>
      <c r="D22" s="34">
        <f>G11/I11*C22</f>
        <v>18.28387903</v>
      </c>
      <c r="E22" s="42"/>
      <c r="F22" s="40"/>
      <c r="G22" s="42"/>
      <c r="H22" s="42"/>
    </row>
    <row r="23" ht="15.75" customHeight="1">
      <c r="C23" s="17">
        <v>1.0</v>
      </c>
      <c r="D23" s="142">
        <f>G11/I11*C23</f>
        <v>0.1828387903</v>
      </c>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sheetData>
  <autoFilter ref="$A$3:$H$10">
    <sortState ref="A3:H10">
      <sortCondition descending="1" ref="H3:H10"/>
    </sortState>
  </autoFilter>
  <mergeCells count="5">
    <mergeCell ref="A1:A2"/>
    <mergeCell ref="B1:I2"/>
    <mergeCell ref="I4:I8"/>
    <mergeCell ref="A13:I13"/>
    <mergeCell ref="A14:G14"/>
  </mergeCells>
  <conditionalFormatting sqref="H4:H10">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294</v>
      </c>
      <c r="B1" s="49" t="s">
        <v>295</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158</v>
      </c>
      <c r="B4" s="6">
        <v>450.0</v>
      </c>
      <c r="C4" s="6">
        <f>B4</f>
        <v>450</v>
      </c>
      <c r="D4" s="4" t="s">
        <v>6</v>
      </c>
      <c r="E4" s="6">
        <f t="shared" ref="E4:E16" si="1">B4-C4</f>
        <v>0</v>
      </c>
      <c r="F4" s="5">
        <f t="shared" ref="F4:F15" si="2">E4/B4*100</f>
        <v>0</v>
      </c>
      <c r="G4" s="5">
        <f>VLOOKUP(A4,'Матрица поставщиков'!A1:E500,5,0) * B4</f>
        <v>100.62</v>
      </c>
      <c r="H4" s="59">
        <f t="shared" ref="H4:H5" si="3">G4/$G$16</f>
        <v>0.4340611871</v>
      </c>
      <c r="I4" s="103"/>
    </row>
    <row r="5">
      <c r="A5" s="6" t="s">
        <v>69</v>
      </c>
      <c r="B5" s="6">
        <v>350.0</v>
      </c>
      <c r="C5" s="6">
        <v>350.0</v>
      </c>
      <c r="D5" s="4" t="s">
        <v>6</v>
      </c>
      <c r="E5" s="6">
        <f t="shared" si="1"/>
        <v>0</v>
      </c>
      <c r="F5" s="5">
        <f t="shared" si="2"/>
        <v>0</v>
      </c>
      <c r="G5" s="5">
        <f>VLOOKUP(A5,'Матрица поставщиков'!A2:E501,5,0) * B5</f>
        <v>19.95</v>
      </c>
      <c r="H5" s="59">
        <f t="shared" si="3"/>
        <v>0.08606162475</v>
      </c>
      <c r="I5" s="81"/>
    </row>
    <row r="6">
      <c r="A6" s="6" t="s">
        <v>159</v>
      </c>
      <c r="B6" s="6">
        <v>350.0</v>
      </c>
      <c r="C6" s="6">
        <v>350.0</v>
      </c>
      <c r="D6" s="4" t="s">
        <v>6</v>
      </c>
      <c r="E6" s="6">
        <f t="shared" si="1"/>
        <v>0</v>
      </c>
      <c r="F6" s="5">
        <f t="shared" si="2"/>
        <v>0</v>
      </c>
      <c r="G6" s="5">
        <f>VLOOKUP(A6,'Матрица поставщиков'!A3:E502,5,0) * B6</f>
        <v>21</v>
      </c>
      <c r="H6" s="59">
        <f>G6/G16</f>
        <v>0.09059118395</v>
      </c>
      <c r="I6" s="81"/>
    </row>
    <row r="7">
      <c r="A7" s="6" t="s">
        <v>161</v>
      </c>
      <c r="B7" s="6">
        <v>350.0</v>
      </c>
      <c r="C7" s="6">
        <v>350.0</v>
      </c>
      <c r="D7" s="4" t="s">
        <v>6</v>
      </c>
      <c r="E7" s="6">
        <f t="shared" si="1"/>
        <v>0</v>
      </c>
      <c r="F7" s="5">
        <f t="shared" si="2"/>
        <v>0</v>
      </c>
      <c r="G7" s="5">
        <f>VLOOKUP(A7,'Матрица поставщиков'!A4:E503,5,0) * B7</f>
        <v>17.15</v>
      </c>
      <c r="H7" s="59">
        <f>G7/$G$16</f>
        <v>0.07398280022</v>
      </c>
      <c r="I7" s="81"/>
    </row>
    <row r="8">
      <c r="A8" s="6" t="s">
        <v>21</v>
      </c>
      <c r="B8" s="6">
        <v>50.0</v>
      </c>
      <c r="C8" s="6">
        <f>B8</f>
        <v>50</v>
      </c>
      <c r="D8" s="4" t="s">
        <v>6</v>
      </c>
      <c r="E8" s="6">
        <f t="shared" si="1"/>
        <v>0</v>
      </c>
      <c r="F8" s="5">
        <f t="shared" si="2"/>
        <v>0</v>
      </c>
      <c r="G8" s="5">
        <f>VLOOKUP(A8,'Матрица поставщиков'!A5:E504,5,0) * B8</f>
        <v>5.15</v>
      </c>
      <c r="H8" s="59">
        <f>G8/G16</f>
        <v>0.0222164094</v>
      </c>
      <c r="I8" s="81"/>
    </row>
    <row r="9">
      <c r="A9" s="6" t="s">
        <v>409</v>
      </c>
      <c r="B9" s="6">
        <v>50.0</v>
      </c>
      <c r="C9" s="6">
        <v>15.0</v>
      </c>
      <c r="D9" s="4" t="s">
        <v>6</v>
      </c>
      <c r="E9" s="6">
        <f t="shared" si="1"/>
        <v>35</v>
      </c>
      <c r="F9" s="5">
        <f t="shared" si="2"/>
        <v>70</v>
      </c>
      <c r="G9" s="5">
        <f>B9*'пф специи для супа'!D13</f>
        <v>47.36363636</v>
      </c>
      <c r="H9" s="59">
        <f t="shared" ref="H9:H15" si="4">G9/$G$16</f>
        <v>0.2043203759</v>
      </c>
      <c r="I9" s="81"/>
    </row>
    <row r="10">
      <c r="A10" s="6" t="s">
        <v>13</v>
      </c>
      <c r="B10" s="6">
        <v>50.0</v>
      </c>
      <c r="C10" s="6">
        <f>B10</f>
        <v>50</v>
      </c>
      <c r="D10" s="4" t="s">
        <v>6</v>
      </c>
      <c r="E10" s="6">
        <f t="shared" si="1"/>
        <v>0</v>
      </c>
      <c r="F10" s="5">
        <f t="shared" si="2"/>
        <v>0</v>
      </c>
      <c r="G10" s="5">
        <f>VLOOKUP(A10,'Матрица поставщиков'!A7:E506,5,0) * B10</f>
        <v>6.09</v>
      </c>
      <c r="H10" s="59">
        <f t="shared" si="4"/>
        <v>0.02627144335</v>
      </c>
      <c r="I10" s="81"/>
    </row>
    <row r="11">
      <c r="A11" s="6" t="s">
        <v>17</v>
      </c>
      <c r="B11" s="6">
        <v>50.0</v>
      </c>
      <c r="C11" s="6">
        <v>50.0</v>
      </c>
      <c r="D11" s="4" t="s">
        <v>6</v>
      </c>
      <c r="E11" s="6">
        <f t="shared" si="1"/>
        <v>0</v>
      </c>
      <c r="F11" s="5">
        <f t="shared" si="2"/>
        <v>0</v>
      </c>
      <c r="G11" s="5">
        <f>VLOOKUP(A11,'Матрица поставщиков'!A1:E507,5,0) * B11</f>
        <v>2.1</v>
      </c>
      <c r="H11" s="59">
        <f t="shared" si="4"/>
        <v>0.009059118395</v>
      </c>
      <c r="I11" s="81"/>
    </row>
    <row r="12">
      <c r="A12" s="4" t="s">
        <v>23</v>
      </c>
      <c r="B12" s="6">
        <v>1.0</v>
      </c>
      <c r="C12" s="6">
        <v>1.0</v>
      </c>
      <c r="D12" s="4" t="s">
        <v>6</v>
      </c>
      <c r="E12" s="6">
        <f t="shared" si="1"/>
        <v>0</v>
      </c>
      <c r="F12" s="5">
        <f t="shared" si="2"/>
        <v>0</v>
      </c>
      <c r="G12" s="5">
        <f>VLOOKUP(A12,'Матрица поставщиков'!A2:E508,5,0) * B12</f>
        <v>1.057</v>
      </c>
      <c r="H12" s="59">
        <f t="shared" si="4"/>
        <v>0.004559756259</v>
      </c>
      <c r="I12" s="81"/>
    </row>
    <row r="13">
      <c r="A13" s="6" t="s">
        <v>18</v>
      </c>
      <c r="B13" s="6">
        <v>3.0</v>
      </c>
      <c r="C13" s="6">
        <v>3.0</v>
      </c>
      <c r="D13" s="4" t="s">
        <v>6</v>
      </c>
      <c r="E13" s="6">
        <f t="shared" si="1"/>
        <v>0</v>
      </c>
      <c r="F13" s="5">
        <f t="shared" si="2"/>
        <v>0</v>
      </c>
      <c r="G13" s="5">
        <f>VLOOKUP(A13,'Матрица поставщиков'!A1:E511,5,0) * B13</f>
        <v>5.65</v>
      </c>
      <c r="H13" s="59">
        <f t="shared" si="4"/>
        <v>0.02437334235</v>
      </c>
      <c r="I13" s="81"/>
      <c r="J13" s="138"/>
      <c r="K13" s="138"/>
      <c r="L13" s="138"/>
      <c r="M13" s="138"/>
      <c r="N13" s="138"/>
      <c r="O13" s="138"/>
      <c r="P13" s="138"/>
      <c r="Q13" s="138"/>
      <c r="R13" s="138"/>
      <c r="S13" s="138"/>
      <c r="T13" s="138"/>
      <c r="U13" s="138"/>
      <c r="V13" s="138"/>
      <c r="W13" s="138"/>
      <c r="X13" s="138"/>
      <c r="Y13" s="138"/>
    </row>
    <row r="14">
      <c r="A14" s="6" t="s">
        <v>121</v>
      </c>
      <c r="B14" s="6">
        <v>20.0</v>
      </c>
      <c r="C14" s="6">
        <v>10.0</v>
      </c>
      <c r="D14" s="4" t="s">
        <v>6</v>
      </c>
      <c r="E14" s="6">
        <f t="shared" si="1"/>
        <v>10</v>
      </c>
      <c r="F14" s="5">
        <f t="shared" si="2"/>
        <v>50</v>
      </c>
      <c r="G14" s="5">
        <f>VLOOKUP(A14,'Матрица поставщиков'!A7:E513,5,0) * B14</f>
        <v>5.68</v>
      </c>
      <c r="H14" s="59">
        <f t="shared" si="4"/>
        <v>0.02450275833</v>
      </c>
      <c r="I14" s="81"/>
    </row>
    <row r="15">
      <c r="A15" s="6" t="s">
        <v>393</v>
      </c>
      <c r="B15" s="6">
        <v>3000.0</v>
      </c>
      <c r="C15" s="6">
        <v>3000.0</v>
      </c>
      <c r="D15" s="4" t="s">
        <v>6</v>
      </c>
      <c r="E15" s="6">
        <f t="shared" si="1"/>
        <v>0</v>
      </c>
      <c r="F15" s="5">
        <f t="shared" si="2"/>
        <v>0</v>
      </c>
      <c r="G15" s="5">
        <f>VLOOKUP(A15,'Матрица поставщиков'!A1:E507,5,0) * B15</f>
        <v>0</v>
      </c>
      <c r="H15" s="59">
        <f t="shared" si="4"/>
        <v>0</v>
      </c>
      <c r="I15" s="52"/>
    </row>
    <row r="16">
      <c r="A16" s="44" t="s">
        <v>227</v>
      </c>
      <c r="B16" s="4">
        <f>SUM(B4:B15)</f>
        <v>4724</v>
      </c>
      <c r="C16" s="6">
        <v>4200.0</v>
      </c>
      <c r="D16" s="82" t="s">
        <v>275</v>
      </c>
      <c r="E16" s="6">
        <f t="shared" si="1"/>
        <v>524</v>
      </c>
      <c r="F16" s="82" t="s">
        <v>275</v>
      </c>
      <c r="G16" s="60">
        <f t="shared" ref="G16:H16" si="5">SUM(G4:G15)</f>
        <v>231.8106364</v>
      </c>
      <c r="H16" s="61">
        <f t="shared" si="5"/>
        <v>1</v>
      </c>
      <c r="I16" s="104">
        <v>4000.0</v>
      </c>
    </row>
    <row r="17">
      <c r="E17" s="42"/>
      <c r="F17" s="40"/>
      <c r="G17" s="42"/>
      <c r="H17" s="42"/>
    </row>
    <row r="18">
      <c r="E18" s="42"/>
      <c r="F18" s="40"/>
      <c r="G18" s="42"/>
      <c r="H18" s="42"/>
    </row>
    <row r="19" ht="15.75" customHeight="1">
      <c r="C19" s="66" t="s">
        <v>208</v>
      </c>
      <c r="D19" s="66" t="s">
        <v>240</v>
      </c>
      <c r="E19" s="42"/>
      <c r="F19" s="40"/>
      <c r="G19" s="42"/>
      <c r="H19" s="42"/>
    </row>
    <row r="20" ht="15.75" customHeight="1">
      <c r="C20" s="17">
        <v>100.0</v>
      </c>
      <c r="D20" s="34">
        <f>G16/I16*C20</f>
        <v>5.795265909</v>
      </c>
      <c r="E20" s="42"/>
      <c r="F20" s="40"/>
      <c r="G20" s="42"/>
      <c r="H20" s="42"/>
    </row>
    <row r="21" ht="15.75" customHeight="1">
      <c r="C21" s="17">
        <v>1.0</v>
      </c>
      <c r="D21" s="142">
        <f>G16/I16*C21</f>
        <v>0.05795265909</v>
      </c>
      <c r="E21" s="42"/>
      <c r="F21" s="40"/>
      <c r="G21" s="42"/>
      <c r="H21" s="42"/>
    </row>
    <row r="22" ht="15.75" customHeight="1">
      <c r="E22" s="42"/>
      <c r="F22" s="40"/>
      <c r="G22" s="42"/>
      <c r="H22" s="42"/>
    </row>
    <row r="23" ht="15.75" customHeight="1">
      <c r="A23" s="63" t="s">
        <v>238</v>
      </c>
    </row>
    <row r="24" ht="15.75" customHeight="1">
      <c r="A24" s="65" t="s">
        <v>410</v>
      </c>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sheetData>
  <autoFilter ref="$A$3:$H$12">
    <sortState ref="A3:H12">
      <sortCondition descending="1" ref="H3:H12"/>
    </sortState>
  </autoFilter>
  <mergeCells count="5">
    <mergeCell ref="A1:A2"/>
    <mergeCell ref="B1:I2"/>
    <mergeCell ref="I4:I15"/>
    <mergeCell ref="A23:I23"/>
    <mergeCell ref="A24:I24"/>
  </mergeCells>
  <conditionalFormatting sqref="H4:H15">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294</v>
      </c>
      <c r="B1" s="143" t="s">
        <v>409</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120</v>
      </c>
      <c r="B4" s="6">
        <v>15.0</v>
      </c>
      <c r="C4" s="6">
        <v>15.0</v>
      </c>
      <c r="D4" s="4" t="s">
        <v>6</v>
      </c>
      <c r="E4" s="6">
        <f t="shared" ref="E4:E8" si="1">B4-C4</f>
        <v>0</v>
      </c>
      <c r="F4" s="5">
        <f t="shared" ref="F4:F7" si="2">E4/B4*100</f>
        <v>0</v>
      </c>
      <c r="G4" s="5">
        <f>VLOOKUP(A4,'Матрица поставщиков'!A6:E505,5,0) * B4</f>
        <v>20.11363636</v>
      </c>
      <c r="H4" s="59">
        <f t="shared" ref="H4:H7" si="3">G4/$G$8</f>
        <v>0.4246641075</v>
      </c>
      <c r="I4" s="103"/>
    </row>
    <row r="5">
      <c r="A5" s="6" t="s">
        <v>119</v>
      </c>
      <c r="B5" s="6">
        <v>10.0</v>
      </c>
      <c r="C5" s="6">
        <v>10.0</v>
      </c>
      <c r="D5" s="4" t="s">
        <v>6</v>
      </c>
      <c r="E5" s="6">
        <f t="shared" si="1"/>
        <v>0</v>
      </c>
      <c r="F5" s="5">
        <f t="shared" si="2"/>
        <v>0</v>
      </c>
      <c r="G5" s="5">
        <f>VLOOKUP(A5,'Матрица поставщиков'!A3:E509,5,0) * B5</f>
        <v>6.7</v>
      </c>
      <c r="H5" s="59">
        <f t="shared" si="3"/>
        <v>0.1414587332</v>
      </c>
      <c r="I5" s="81"/>
    </row>
    <row r="6">
      <c r="A6" s="6" t="s">
        <v>106</v>
      </c>
      <c r="B6" s="6">
        <v>10.0</v>
      </c>
      <c r="C6" s="6">
        <v>10.0</v>
      </c>
      <c r="D6" s="4" t="s">
        <v>6</v>
      </c>
      <c r="E6" s="6">
        <f t="shared" si="1"/>
        <v>0</v>
      </c>
      <c r="F6" s="5">
        <f t="shared" si="2"/>
        <v>0</v>
      </c>
      <c r="G6" s="5">
        <f>VLOOKUP(A6,'Матрица поставщиков'!A4:E510,5,0) * B6</f>
        <v>7</v>
      </c>
      <c r="H6" s="59">
        <f t="shared" si="3"/>
        <v>0.1477927063</v>
      </c>
      <c r="I6" s="81"/>
    </row>
    <row r="7">
      <c r="A7" s="6" t="s">
        <v>126</v>
      </c>
      <c r="B7" s="6">
        <v>15.0</v>
      </c>
      <c r="C7" s="6">
        <v>15.0</v>
      </c>
      <c r="D7" s="4" t="s">
        <v>6</v>
      </c>
      <c r="E7" s="6">
        <f t="shared" si="1"/>
        <v>0</v>
      </c>
      <c r="F7" s="5">
        <f t="shared" si="2"/>
        <v>0</v>
      </c>
      <c r="G7" s="5">
        <f>VLOOKUP(A7,'Матрица поставщиков'!A6:E512,5,0) * B7</f>
        <v>13.55</v>
      </c>
      <c r="H7" s="59">
        <f t="shared" si="3"/>
        <v>0.286084453</v>
      </c>
      <c r="I7" s="52"/>
    </row>
    <row r="8">
      <c r="A8" s="44" t="s">
        <v>227</v>
      </c>
      <c r="B8" s="4">
        <f t="shared" ref="B8:C8" si="4">SUM(B4:B7)</f>
        <v>50</v>
      </c>
      <c r="C8" s="6">
        <f t="shared" si="4"/>
        <v>50</v>
      </c>
      <c r="D8" s="82" t="s">
        <v>275</v>
      </c>
      <c r="E8" s="6">
        <f t="shared" si="1"/>
        <v>0</v>
      </c>
      <c r="F8" s="82" t="s">
        <v>275</v>
      </c>
      <c r="G8" s="60">
        <f t="shared" ref="G8:H8" si="5">SUM(G4:G7)</f>
        <v>47.36363636</v>
      </c>
      <c r="H8" s="61">
        <f t="shared" si="5"/>
        <v>1</v>
      </c>
      <c r="I8" s="104">
        <f>C8</f>
        <v>50</v>
      </c>
    </row>
    <row r="9">
      <c r="E9" s="42"/>
      <c r="F9" s="40"/>
      <c r="G9" s="42"/>
      <c r="H9" s="42"/>
    </row>
    <row r="10">
      <c r="E10" s="42"/>
      <c r="F10" s="40"/>
      <c r="G10" s="42"/>
      <c r="H10" s="42"/>
    </row>
    <row r="11" ht="15.75" customHeight="1">
      <c r="C11" s="66" t="s">
        <v>208</v>
      </c>
      <c r="D11" s="66" t="s">
        <v>240</v>
      </c>
      <c r="E11" s="42"/>
      <c r="F11" s="40"/>
      <c r="G11" s="42"/>
      <c r="H11" s="42"/>
    </row>
    <row r="12" ht="15.75" customHeight="1">
      <c r="C12" s="17">
        <v>100.0</v>
      </c>
      <c r="D12" s="34">
        <f>G8/I8*C12</f>
        <v>94.72727273</v>
      </c>
      <c r="E12" s="42"/>
      <c r="F12" s="40"/>
      <c r="G12" s="42"/>
      <c r="H12" s="42"/>
    </row>
    <row r="13" ht="15.75" customHeight="1">
      <c r="C13" s="17">
        <v>1.0</v>
      </c>
      <c r="D13" s="142">
        <f>G8/I8*C13</f>
        <v>0.9472727273</v>
      </c>
      <c r="E13" s="42"/>
      <c r="F13" s="40"/>
      <c r="G13" s="42"/>
      <c r="H13" s="42"/>
    </row>
    <row r="14" ht="15.75" customHeight="1">
      <c r="E14" s="42"/>
      <c r="F14" s="40"/>
      <c r="G14" s="42"/>
      <c r="H14" s="42"/>
    </row>
    <row r="15" ht="15.75" customHeight="1">
      <c r="A15" s="63" t="s">
        <v>238</v>
      </c>
    </row>
    <row r="16" ht="15.75" customHeight="1">
      <c r="A16" s="65"/>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sheetData>
  <autoFilter ref="$A$3:$H$4">
    <sortState ref="A3:H4">
      <sortCondition descending="1" ref="H3:H4"/>
    </sortState>
  </autoFilter>
  <mergeCells count="5">
    <mergeCell ref="A1:A2"/>
    <mergeCell ref="B1:I2"/>
    <mergeCell ref="I4:I7"/>
    <mergeCell ref="A15:I15"/>
    <mergeCell ref="A16:I16"/>
  </mergeCells>
  <conditionalFormatting sqref="H4:H7">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294</v>
      </c>
      <c r="B1" s="49" t="s">
        <v>295</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02" t="s">
        <v>233</v>
      </c>
      <c r="G3" s="57" t="s">
        <v>234</v>
      </c>
      <c r="H3" s="57" t="s">
        <v>235</v>
      </c>
      <c r="I3" s="57" t="s">
        <v>236</v>
      </c>
    </row>
    <row r="4">
      <c r="A4" s="6" t="s">
        <v>121</v>
      </c>
      <c r="B4" s="6">
        <v>1000.0</v>
      </c>
      <c r="C4" s="6">
        <f>B4</f>
        <v>1000</v>
      </c>
      <c r="D4" s="4" t="s">
        <v>6</v>
      </c>
      <c r="E4" s="6">
        <f t="shared" ref="E4:E6" si="1">B4-C4</f>
        <v>0</v>
      </c>
      <c r="F4" s="5">
        <f t="shared" ref="F4:F5" si="2">E4/B4*100</f>
        <v>0</v>
      </c>
      <c r="G4" s="5">
        <f>VLOOKUP(A4,'Матрица поставщиков'!A1:E500,5,0) * B4</f>
        <v>284</v>
      </c>
      <c r="H4" s="59">
        <f t="shared" ref="H4:H5" si="3">G4/$G$6</f>
        <v>0.9658221391</v>
      </c>
      <c r="I4" s="103"/>
    </row>
    <row r="5">
      <c r="A5" s="6" t="s">
        <v>119</v>
      </c>
      <c r="B5" s="6">
        <v>15.0</v>
      </c>
      <c r="C5" s="6">
        <v>0.0</v>
      </c>
      <c r="D5" s="4" t="s">
        <v>6</v>
      </c>
      <c r="E5" s="6">
        <f t="shared" si="1"/>
        <v>15</v>
      </c>
      <c r="F5" s="5">
        <f t="shared" si="2"/>
        <v>100</v>
      </c>
      <c r="G5" s="5">
        <f>VLOOKUP(A5,'Матрица поставщиков'!A2:E501,5,0) * B5</f>
        <v>10.05</v>
      </c>
      <c r="H5" s="59">
        <f t="shared" si="3"/>
        <v>0.03417786091</v>
      </c>
      <c r="I5" s="52"/>
    </row>
    <row r="6">
      <c r="A6" s="44" t="s">
        <v>227</v>
      </c>
      <c r="B6" s="4">
        <f t="shared" ref="B6:C6" si="4">SUM(B4:B5)</f>
        <v>1015</v>
      </c>
      <c r="C6" s="6">
        <f t="shared" si="4"/>
        <v>1000</v>
      </c>
      <c r="D6" s="82" t="s">
        <v>275</v>
      </c>
      <c r="E6" s="6">
        <f t="shared" si="1"/>
        <v>15</v>
      </c>
      <c r="F6" s="82" t="s">
        <v>275</v>
      </c>
      <c r="G6" s="60">
        <f t="shared" ref="G6:H6" si="5">SUM(G4:G5)</f>
        <v>294.05</v>
      </c>
      <c r="H6" s="61">
        <f t="shared" si="5"/>
        <v>1</v>
      </c>
      <c r="I6" s="104">
        <f>C6</f>
        <v>1000</v>
      </c>
    </row>
    <row r="7">
      <c r="E7" s="42"/>
      <c r="F7" s="40"/>
      <c r="G7" s="42"/>
      <c r="H7" s="42"/>
    </row>
    <row r="8">
      <c r="E8" s="42"/>
      <c r="F8" s="40"/>
      <c r="G8" s="42"/>
      <c r="H8" s="42"/>
    </row>
    <row r="9" ht="15.75" customHeight="1">
      <c r="C9" s="66" t="s">
        <v>208</v>
      </c>
      <c r="D9" s="66" t="s">
        <v>240</v>
      </c>
      <c r="E9" s="42"/>
      <c r="F9" s="40"/>
      <c r="G9" s="42"/>
      <c r="H9" s="42"/>
    </row>
    <row r="10" ht="15.75" customHeight="1">
      <c r="C10" s="17">
        <v>100.0</v>
      </c>
      <c r="D10" s="34">
        <f>G6/I6*C10</f>
        <v>29.405</v>
      </c>
      <c r="E10" s="42"/>
      <c r="F10" s="40"/>
      <c r="G10" s="42"/>
      <c r="H10" s="42"/>
    </row>
    <row r="11" ht="15.75" customHeight="1">
      <c r="C11" s="17">
        <v>1.0</v>
      </c>
      <c r="D11" s="142">
        <f>G6/I6*C11</f>
        <v>0.29405</v>
      </c>
      <c r="E11" s="42"/>
      <c r="F11" s="40"/>
      <c r="G11" s="42"/>
      <c r="H11" s="42"/>
    </row>
    <row r="12" ht="15.75" customHeight="1">
      <c r="E12" s="42"/>
      <c r="F12" s="40"/>
      <c r="G12" s="42"/>
      <c r="H12" s="42"/>
    </row>
    <row r="13" ht="15.75" customHeight="1">
      <c r="A13" s="63" t="s">
        <v>238</v>
      </c>
    </row>
    <row r="14" ht="15.75" customHeight="1">
      <c r="A14" s="65" t="s">
        <v>411</v>
      </c>
    </row>
    <row r="15" ht="15.75" customHeight="1">
      <c r="E15" s="42"/>
      <c r="F15" s="40"/>
      <c r="G15" s="42"/>
      <c r="H15" s="42"/>
    </row>
    <row r="16" ht="15.75" customHeight="1">
      <c r="E16" s="42"/>
      <c r="F16" s="40"/>
      <c r="G16" s="42"/>
      <c r="H16" s="42"/>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sheetData>
  <autoFilter ref="$A$3:$H$5">
    <sortState ref="A3:H5">
      <sortCondition descending="1" ref="H3:H5"/>
    </sortState>
  </autoFilter>
  <mergeCells count="5">
    <mergeCell ref="A1:A2"/>
    <mergeCell ref="B1:I2"/>
    <mergeCell ref="I4:I5"/>
    <mergeCell ref="A13:I13"/>
    <mergeCell ref="A14:I14"/>
  </mergeCells>
  <conditionalFormatting sqref="H4:H5">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286</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412</v>
      </c>
    </row>
    <row r="4">
      <c r="A4" s="6" t="s">
        <v>25</v>
      </c>
      <c r="B4" s="6">
        <v>1.0</v>
      </c>
      <c r="C4" s="6">
        <v>1.0</v>
      </c>
      <c r="D4" s="6" t="s">
        <v>26</v>
      </c>
      <c r="E4" s="17">
        <f t="shared" ref="E4:E5" si="1">B4-C4</f>
        <v>0</v>
      </c>
      <c r="F4" s="5">
        <f t="shared" ref="F4:F5" si="2">E4/B4*100</f>
        <v>0</v>
      </c>
      <c r="G4" s="5">
        <f>VLOOKUP(A4,'Матрица поставщиков'!A1:E520,5,0) * B4</f>
        <v>14.5</v>
      </c>
      <c r="H4" s="59">
        <f t="shared" ref="H4:H5" si="3">G4/$G$6</f>
        <v>0.7696619432</v>
      </c>
      <c r="I4" s="103"/>
    </row>
    <row r="5">
      <c r="A5" s="25" t="s">
        <v>341</v>
      </c>
      <c r="B5" s="120">
        <v>120.0</v>
      </c>
      <c r="C5" s="6">
        <v>0.0</v>
      </c>
      <c r="D5" s="4" t="s">
        <v>6</v>
      </c>
      <c r="E5" s="17">
        <f t="shared" si="1"/>
        <v>120</v>
      </c>
      <c r="F5" s="5">
        <f t="shared" si="2"/>
        <v>100</v>
      </c>
      <c r="G5" s="5">
        <f>'пф искандер соус'!L11*B5</f>
        <v>4.33944</v>
      </c>
      <c r="H5" s="59">
        <f t="shared" si="3"/>
        <v>0.2303380568</v>
      </c>
      <c r="I5" s="52"/>
    </row>
    <row r="6">
      <c r="A6" s="44" t="s">
        <v>227</v>
      </c>
      <c r="B6" s="93">
        <f t="shared" ref="B6:C6" si="4">SUM(B3:B5)</f>
        <v>121</v>
      </c>
      <c r="C6" s="93">
        <f t="shared" si="4"/>
        <v>1</v>
      </c>
      <c r="D6" s="82" t="s">
        <v>275</v>
      </c>
      <c r="E6" s="32">
        <f t="shared" ref="E6:H6" si="5">SUM(E4:E5)</f>
        <v>120</v>
      </c>
      <c r="F6" s="136">
        <f t="shared" si="5"/>
        <v>100</v>
      </c>
      <c r="G6" s="60">
        <f t="shared" si="5"/>
        <v>18.83944</v>
      </c>
      <c r="H6" s="137">
        <f t="shared" si="5"/>
        <v>1</v>
      </c>
      <c r="I6" s="144">
        <f>B6-E6</f>
        <v>1</v>
      </c>
    </row>
    <row r="7">
      <c r="E7" s="42"/>
      <c r="F7" s="40"/>
      <c r="G7" s="42"/>
      <c r="H7" s="42"/>
    </row>
    <row r="8">
      <c r="A8" s="63" t="s">
        <v>238</v>
      </c>
    </row>
    <row r="9">
      <c r="A9" s="64" t="s">
        <v>413</v>
      </c>
      <c r="H9" s="138"/>
      <c r="I9" s="138"/>
      <c r="J9" s="138"/>
      <c r="K9" s="138"/>
      <c r="L9" s="138"/>
      <c r="M9" s="138"/>
      <c r="N9" s="138"/>
      <c r="O9" s="138"/>
      <c r="P9" s="138"/>
      <c r="Q9" s="138"/>
      <c r="R9" s="138"/>
      <c r="S9" s="138"/>
      <c r="T9" s="138"/>
      <c r="U9" s="138"/>
      <c r="V9" s="138"/>
      <c r="W9" s="138"/>
      <c r="X9" s="138"/>
      <c r="Y9" s="138"/>
    </row>
    <row r="10">
      <c r="E10" s="42"/>
      <c r="F10" s="40"/>
      <c r="G10" s="42"/>
      <c r="H10" s="42"/>
    </row>
    <row r="11">
      <c r="C11" s="66" t="s">
        <v>208</v>
      </c>
      <c r="D11" s="66" t="s">
        <v>240</v>
      </c>
      <c r="E11" s="42"/>
      <c r="F11" s="40"/>
      <c r="G11" s="42"/>
      <c r="H11" s="42"/>
    </row>
    <row r="12">
      <c r="C12" s="17">
        <v>100.0</v>
      </c>
      <c r="D12" s="131">
        <f>G6/I6*C12</f>
        <v>1883.944</v>
      </c>
      <c r="E12" s="42"/>
      <c r="F12" s="40"/>
      <c r="G12" s="139" t="s">
        <v>405</v>
      </c>
      <c r="H12" s="139">
        <v>38.7</v>
      </c>
    </row>
    <row r="13">
      <c r="C13" s="17">
        <v>1000.0</v>
      </c>
      <c r="D13" s="140">
        <f>G6/I6*C13</f>
        <v>18839.44</v>
      </c>
      <c r="E13" s="42"/>
      <c r="F13" s="40"/>
      <c r="G13" s="139" t="s">
        <v>406</v>
      </c>
      <c r="H13" s="139">
        <v>150.0</v>
      </c>
      <c r="I13" s="15" t="s">
        <v>407</v>
      </c>
    </row>
    <row r="14">
      <c r="E14" s="42"/>
      <c r="F14" s="40"/>
      <c r="G14" s="42"/>
      <c r="H14" s="42"/>
    </row>
    <row r="15">
      <c r="E15" s="42"/>
      <c r="F15" s="40"/>
      <c r="G15" s="42"/>
      <c r="H15" s="42"/>
    </row>
    <row r="16" ht="15.75" customHeight="1">
      <c r="C16" s="66" t="s">
        <v>208</v>
      </c>
      <c r="D16" s="66" t="s">
        <v>240</v>
      </c>
      <c r="E16" s="42"/>
      <c r="F16" s="40"/>
      <c r="G16" s="42"/>
      <c r="H16" s="42"/>
    </row>
    <row r="17" ht="15.75" customHeight="1">
      <c r="C17" s="17">
        <v>100.0</v>
      </c>
      <c r="D17" s="34">
        <f>G6/I6*C17</f>
        <v>1883.944</v>
      </c>
      <c r="E17" s="42"/>
      <c r="F17" s="40"/>
      <c r="G17" s="42"/>
      <c r="H17" s="42"/>
    </row>
    <row r="18" ht="15.75" customHeight="1">
      <c r="C18" s="17">
        <v>1.0</v>
      </c>
      <c r="D18" s="34">
        <f>G6/I6*C18</f>
        <v>18.83944</v>
      </c>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sheetData>
  <autoFilter ref="$A$3:$H$5">
    <sortState ref="A3:H5">
      <sortCondition descending="1" ref="H3:H5"/>
    </sortState>
  </autoFilter>
  <mergeCells count="5">
    <mergeCell ref="A1:A2"/>
    <mergeCell ref="B1:I2"/>
    <mergeCell ref="I4:I5"/>
    <mergeCell ref="A8:I8"/>
    <mergeCell ref="A9:G9"/>
  </mergeCells>
  <conditionalFormatting sqref="H4:H5">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414</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L3" s="66" t="s">
        <v>208</v>
      </c>
      <c r="M3" s="66" t="s">
        <v>240</v>
      </c>
    </row>
    <row r="4">
      <c r="A4" s="6" t="s">
        <v>169</v>
      </c>
      <c r="B4" s="6">
        <v>150.0</v>
      </c>
      <c r="C4" s="6">
        <v>150.0</v>
      </c>
      <c r="D4" s="4" t="s">
        <v>6</v>
      </c>
      <c r="E4" s="17">
        <f t="shared" ref="E4:E6" si="1">B4-C4</f>
        <v>0</v>
      </c>
      <c r="F4" s="5">
        <f t="shared" ref="F4:F6" si="2">E4/B4*100</f>
        <v>0</v>
      </c>
      <c r="G4" s="5">
        <f>VLOOKUP(A4,'Матрица поставщиков'!A1:E525,5,0) * B4</f>
        <v>68.85</v>
      </c>
      <c r="H4" s="59">
        <f t="shared" ref="H4:H6" si="3">G4/$G$7</f>
        <v>0.9652590848</v>
      </c>
      <c r="I4" s="103"/>
      <c r="L4" s="17">
        <v>100.0</v>
      </c>
      <c r="M4" s="34">
        <f>G7/I7*L4</f>
        <v>41.95764706</v>
      </c>
    </row>
    <row r="5">
      <c r="A5" s="6" t="s">
        <v>13</v>
      </c>
      <c r="B5" s="6">
        <v>20.0</v>
      </c>
      <c r="C5" s="6">
        <v>20.0</v>
      </c>
      <c r="D5" s="4" t="s">
        <v>6</v>
      </c>
      <c r="E5" s="17">
        <f t="shared" si="1"/>
        <v>0</v>
      </c>
      <c r="F5" s="5">
        <f t="shared" si="2"/>
        <v>0</v>
      </c>
      <c r="G5" s="5">
        <f>VLOOKUP(A5,'Матрица поставщиков'!A2:E53,5,0) * B5</f>
        <v>2.436</v>
      </c>
      <c r="H5" s="59">
        <f t="shared" si="3"/>
        <v>0.03415208614</v>
      </c>
      <c r="I5" s="81"/>
      <c r="L5" s="17">
        <v>1.0</v>
      </c>
      <c r="M5" s="34">
        <f>G7/I7*L5</f>
        <v>0.4195764706</v>
      </c>
    </row>
    <row r="6">
      <c r="A6" s="6" t="s">
        <v>415</v>
      </c>
      <c r="B6" s="6">
        <v>1.0</v>
      </c>
      <c r="C6" s="6">
        <v>0.0</v>
      </c>
      <c r="D6" s="4" t="s">
        <v>6</v>
      </c>
      <c r="E6" s="17">
        <f t="shared" si="1"/>
        <v>1</v>
      </c>
      <c r="F6" s="5">
        <f t="shared" si="2"/>
        <v>100</v>
      </c>
      <c r="G6" s="5">
        <f>VLOOKUP(A6,'Матрица поставщиков'!A3:E54,5,0) * B6</f>
        <v>0.042</v>
      </c>
      <c r="H6" s="59">
        <f t="shared" si="3"/>
        <v>0.0005888290713</v>
      </c>
      <c r="I6" s="52"/>
    </row>
    <row r="7">
      <c r="A7" s="44" t="s">
        <v>227</v>
      </c>
      <c r="B7" s="93">
        <f t="shared" ref="B7:C7" si="4">SUM(B3:B6)</f>
        <v>171</v>
      </c>
      <c r="C7" s="93">
        <f t="shared" si="4"/>
        <v>170</v>
      </c>
      <c r="D7" s="82" t="s">
        <v>275</v>
      </c>
      <c r="E7" s="32">
        <f t="shared" ref="E7:H7" si="5">SUM(E4:E6)</f>
        <v>1</v>
      </c>
      <c r="F7" s="136">
        <f t="shared" si="5"/>
        <v>100</v>
      </c>
      <c r="G7" s="60">
        <f t="shared" si="5"/>
        <v>71.328</v>
      </c>
      <c r="H7" s="137">
        <f t="shared" si="5"/>
        <v>1</v>
      </c>
      <c r="I7" s="144">
        <f>B7-E7</f>
        <v>170</v>
      </c>
    </row>
    <row r="8">
      <c r="E8" s="42"/>
      <c r="F8" s="40"/>
      <c r="G8" s="42"/>
      <c r="H8" s="42"/>
    </row>
    <row r="9">
      <c r="A9" s="63" t="s">
        <v>238</v>
      </c>
    </row>
    <row r="10">
      <c r="A10" s="64" t="s">
        <v>416</v>
      </c>
      <c r="H10" s="138"/>
      <c r="I10" s="138"/>
      <c r="J10" s="138"/>
      <c r="K10" s="138"/>
      <c r="L10" s="138"/>
      <c r="M10" s="138"/>
      <c r="N10" s="138"/>
      <c r="O10" s="138"/>
      <c r="P10" s="138"/>
      <c r="Q10" s="138"/>
      <c r="R10" s="138"/>
      <c r="S10" s="138"/>
      <c r="T10" s="138"/>
      <c r="U10" s="138"/>
      <c r="V10" s="138"/>
      <c r="W10" s="138"/>
      <c r="X10" s="138"/>
      <c r="Y10" s="138"/>
    </row>
    <row r="11">
      <c r="E11" s="42"/>
      <c r="F11" s="40"/>
      <c r="G11" s="42"/>
      <c r="H11" s="42"/>
    </row>
    <row r="12">
      <c r="C12" s="66" t="s">
        <v>208</v>
      </c>
      <c r="D12" s="66" t="s">
        <v>240</v>
      </c>
      <c r="E12" s="42"/>
      <c r="F12" s="40"/>
      <c r="G12" s="42"/>
      <c r="H12" s="42"/>
    </row>
    <row r="13">
      <c r="C13" s="17">
        <v>100.0</v>
      </c>
      <c r="D13" s="131">
        <f>G7/I7*C13</f>
        <v>41.95764706</v>
      </c>
      <c r="E13" s="42"/>
      <c r="F13" s="40"/>
      <c r="G13" s="139" t="s">
        <v>405</v>
      </c>
      <c r="H13" s="139">
        <v>38.7</v>
      </c>
    </row>
    <row r="14">
      <c r="C14" s="17">
        <v>1000.0</v>
      </c>
      <c r="D14" s="140">
        <f>G7/I7*C14</f>
        <v>419.5764706</v>
      </c>
      <c r="E14" s="42"/>
      <c r="F14" s="40"/>
      <c r="G14" s="139" t="s">
        <v>406</v>
      </c>
      <c r="H14" s="139">
        <v>150.0</v>
      </c>
      <c r="I14" s="15" t="s">
        <v>407</v>
      </c>
    </row>
    <row r="15">
      <c r="E15" s="42"/>
      <c r="F15" s="40"/>
      <c r="G15" s="42"/>
      <c r="H15" s="42"/>
    </row>
    <row r="16">
      <c r="E16" s="42"/>
      <c r="F16" s="40"/>
      <c r="G16" s="42"/>
      <c r="H16" s="42"/>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sheetData>
  <autoFilter ref="$A$3:$H$6">
    <sortState ref="A3:H6">
      <sortCondition descending="1" ref="H3:H6"/>
    </sortState>
  </autoFilter>
  <mergeCells count="5">
    <mergeCell ref="A1:A2"/>
    <mergeCell ref="B1:I2"/>
    <mergeCell ref="I4:I6"/>
    <mergeCell ref="A9:I9"/>
    <mergeCell ref="A10:G10"/>
  </mergeCells>
  <conditionalFormatting sqref="H4:H6">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5.86"/>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143" t="s">
        <v>417</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9</v>
      </c>
      <c r="B4" s="6">
        <v>1000.0</v>
      </c>
      <c r="C4" s="6">
        <v>950.0</v>
      </c>
      <c r="D4" s="4" t="s">
        <v>6</v>
      </c>
      <c r="E4" s="17">
        <f t="shared" ref="E4:E9" si="1">B4-C4</f>
        <v>50</v>
      </c>
      <c r="F4" s="5">
        <f t="shared" ref="F4:F9" si="2">E4/B4*100</f>
        <v>5</v>
      </c>
      <c r="G4" s="5">
        <f>VLOOKUP(A4,'Матрица поставщиков'!A1:E52,5,0) * B4</f>
        <v>339</v>
      </c>
      <c r="H4" s="59">
        <f t="shared" ref="H4:H9" si="3">G4/$G$10</f>
        <v>0.9282528658</v>
      </c>
      <c r="I4" s="103"/>
    </row>
    <row r="5">
      <c r="A5" s="4" t="s">
        <v>13</v>
      </c>
      <c r="B5" s="6">
        <v>40.0</v>
      </c>
      <c r="C5" s="6">
        <v>0.0</v>
      </c>
      <c r="D5" s="4" t="s">
        <v>6</v>
      </c>
      <c r="E5" s="17">
        <f t="shared" si="1"/>
        <v>40</v>
      </c>
      <c r="F5" s="5">
        <f t="shared" si="2"/>
        <v>100</v>
      </c>
      <c r="G5" s="5">
        <f>VLOOKUP(A5,'Матрица поставщиков'!A3:E54,5,0) * B5</f>
        <v>4.872</v>
      </c>
      <c r="H5" s="59">
        <f t="shared" si="3"/>
        <v>0.01334055446</v>
      </c>
      <c r="I5" s="81"/>
    </row>
    <row r="6">
      <c r="A6" s="25" t="s">
        <v>418</v>
      </c>
      <c r="B6" s="120">
        <v>19.0</v>
      </c>
      <c r="C6" s="6">
        <v>0.0</v>
      </c>
      <c r="D6" s="4" t="s">
        <v>6</v>
      </c>
      <c r="E6" s="17">
        <f t="shared" si="1"/>
        <v>19</v>
      </c>
      <c r="F6" s="5">
        <f t="shared" si="2"/>
        <v>100</v>
      </c>
      <c r="G6" s="5">
        <f>B6*'пф специи для курицы'!D15</f>
        <v>17.47521212</v>
      </c>
      <c r="H6" s="59">
        <f t="shared" si="3"/>
        <v>0.04785078387</v>
      </c>
      <c r="I6" s="81"/>
    </row>
    <row r="7">
      <c r="A7" s="4" t="s">
        <v>21</v>
      </c>
      <c r="B7" s="120">
        <v>30.0</v>
      </c>
      <c r="C7" s="6">
        <v>0.0</v>
      </c>
      <c r="D7" s="4" t="s">
        <v>6</v>
      </c>
      <c r="E7" s="32">
        <f t="shared" si="1"/>
        <v>30</v>
      </c>
      <c r="F7" s="5">
        <f t="shared" si="2"/>
        <v>100</v>
      </c>
      <c r="G7" s="5">
        <f>VLOOKUP(A7,'Матрица поставщиков'!A8:E59,5,0) * B7</f>
        <v>3.09</v>
      </c>
      <c r="H7" s="59">
        <f t="shared" si="3"/>
        <v>0.008461065945</v>
      </c>
      <c r="I7" s="81"/>
    </row>
    <row r="8">
      <c r="A8" s="6" t="s">
        <v>15</v>
      </c>
      <c r="B8" s="120">
        <v>5.0</v>
      </c>
      <c r="C8" s="6">
        <v>0.0</v>
      </c>
      <c r="D8" s="4" t="s">
        <v>6</v>
      </c>
      <c r="E8" s="32">
        <f t="shared" si="1"/>
        <v>5</v>
      </c>
      <c r="F8" s="5">
        <f t="shared" si="2"/>
        <v>100</v>
      </c>
      <c r="G8" s="5">
        <f>VLOOKUP(A8,'Матрица поставщиков'!A10:E61,5,0) * B8</f>
        <v>0.345</v>
      </c>
      <c r="H8" s="59">
        <f t="shared" si="3"/>
        <v>0.0009446821201</v>
      </c>
      <c r="I8" s="81"/>
    </row>
    <row r="9">
      <c r="A9" s="4" t="s">
        <v>17</v>
      </c>
      <c r="B9" s="120">
        <v>10.0</v>
      </c>
      <c r="C9" s="6">
        <v>0.0</v>
      </c>
      <c r="D9" s="4" t="s">
        <v>6</v>
      </c>
      <c r="E9" s="32">
        <f t="shared" si="1"/>
        <v>10</v>
      </c>
      <c r="F9" s="5">
        <f t="shared" si="2"/>
        <v>100</v>
      </c>
      <c r="G9" s="5">
        <f>VLOOKUP(A9,'Матрица поставщиков'!A10:E61,5,0) * B9</f>
        <v>0.42</v>
      </c>
      <c r="H9" s="59">
        <f t="shared" si="3"/>
        <v>0.001150047798</v>
      </c>
      <c r="I9" s="52"/>
    </row>
    <row r="10">
      <c r="A10" s="44" t="s">
        <v>227</v>
      </c>
      <c r="B10" s="93">
        <f t="shared" ref="B10:C10" si="4">SUM(B3:B9)</f>
        <v>1104</v>
      </c>
      <c r="C10" s="93">
        <f t="shared" si="4"/>
        <v>950</v>
      </c>
      <c r="D10" s="82" t="s">
        <v>275</v>
      </c>
      <c r="E10" s="32">
        <f t="shared" ref="E10:H10" si="5">SUM(E4:E9)</f>
        <v>154</v>
      </c>
      <c r="F10" s="136">
        <f t="shared" si="5"/>
        <v>505</v>
      </c>
      <c r="G10" s="60">
        <f t="shared" si="5"/>
        <v>365.2022121</v>
      </c>
      <c r="H10" s="137">
        <f t="shared" si="5"/>
        <v>1</v>
      </c>
      <c r="I10" s="144">
        <f>B10-E10</f>
        <v>950</v>
      </c>
    </row>
    <row r="11">
      <c r="E11" s="42"/>
      <c r="F11" s="40"/>
      <c r="G11" s="42"/>
      <c r="H11" s="42"/>
    </row>
    <row r="12">
      <c r="A12" s="63" t="s">
        <v>238</v>
      </c>
    </row>
    <row r="13">
      <c r="A13" s="64" t="s">
        <v>419</v>
      </c>
      <c r="H13" s="138"/>
      <c r="I13" s="138"/>
      <c r="J13" s="138"/>
      <c r="K13" s="138"/>
      <c r="L13" s="138"/>
      <c r="M13" s="138"/>
      <c r="N13" s="138"/>
      <c r="O13" s="138"/>
      <c r="P13" s="138"/>
      <c r="Q13" s="138"/>
      <c r="R13" s="138"/>
      <c r="S13" s="138"/>
      <c r="T13" s="138"/>
      <c r="U13" s="138"/>
      <c r="V13" s="138"/>
      <c r="W13" s="138"/>
      <c r="X13" s="138"/>
      <c r="Y13" s="138"/>
    </row>
    <row r="14">
      <c r="E14" s="42"/>
      <c r="F14" s="40"/>
      <c r="G14" s="42"/>
      <c r="H14" s="42"/>
    </row>
    <row r="15">
      <c r="C15" s="66" t="s">
        <v>208</v>
      </c>
      <c r="D15" s="66" t="s">
        <v>240</v>
      </c>
      <c r="E15" s="42"/>
      <c r="F15" s="40"/>
      <c r="G15" s="42"/>
      <c r="H15" s="42"/>
    </row>
    <row r="16">
      <c r="C16" s="17">
        <v>100.0</v>
      </c>
      <c r="D16" s="131">
        <f>G10/I10*C16</f>
        <v>38.44233812</v>
      </c>
      <c r="E16" s="42"/>
      <c r="F16" s="40"/>
      <c r="G16" s="139" t="s">
        <v>405</v>
      </c>
      <c r="H16" s="139">
        <v>38.7</v>
      </c>
    </row>
    <row r="17">
      <c r="C17" s="17">
        <v>1000.0</v>
      </c>
      <c r="D17" s="140">
        <f>G10/I10*C17</f>
        <v>384.4233812</v>
      </c>
      <c r="E17" s="42"/>
      <c r="F17" s="40"/>
      <c r="G17" s="139" t="s">
        <v>406</v>
      </c>
      <c r="H17" s="139">
        <v>150.0</v>
      </c>
      <c r="I17" s="15" t="s">
        <v>407</v>
      </c>
    </row>
    <row r="18">
      <c r="E18" s="42"/>
      <c r="F18" s="40"/>
      <c r="G18" s="42"/>
      <c r="H18" s="42"/>
    </row>
    <row r="19">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sheetData>
  <autoFilter ref="$A$3:$H$9">
    <sortState ref="A3:H9">
      <sortCondition descending="1" ref="H3:H9"/>
    </sortState>
  </autoFilter>
  <mergeCells count="5">
    <mergeCell ref="A1:A2"/>
    <mergeCell ref="B1:I2"/>
    <mergeCell ref="I4:I9"/>
    <mergeCell ref="A12:I12"/>
    <mergeCell ref="A13:G13"/>
  </mergeCells>
  <conditionalFormatting sqref="H4:H9">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5.86"/>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143" t="s">
        <v>418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25" t="s">
        <v>126</v>
      </c>
      <c r="B4" s="120">
        <v>2.0</v>
      </c>
      <c r="C4" s="6">
        <v>2.0</v>
      </c>
      <c r="D4" s="4" t="s">
        <v>6</v>
      </c>
      <c r="E4" s="17">
        <f t="shared" ref="E4:E8" si="1">B4-C4</f>
        <v>0</v>
      </c>
      <c r="F4" s="5">
        <f t="shared" ref="F4:F8" si="2">E4/B4*100</f>
        <v>0</v>
      </c>
      <c r="G4" s="5">
        <f>VLOOKUP(A4,'Матрица поставщиков'!A4:E55,5,0) * B4</f>
        <v>1.806666667</v>
      </c>
      <c r="H4" s="59">
        <f t="shared" ref="H4:H8" si="3">G4/$G$9</f>
        <v>0.1033845343</v>
      </c>
      <c r="I4" s="103"/>
    </row>
    <row r="5">
      <c r="A5" s="6" t="s">
        <v>119</v>
      </c>
      <c r="B5" s="120">
        <v>5.0</v>
      </c>
      <c r="C5" s="6">
        <v>5.0</v>
      </c>
      <c r="D5" s="4" t="s">
        <v>6</v>
      </c>
      <c r="E5" s="17">
        <f t="shared" si="1"/>
        <v>0</v>
      </c>
      <c r="F5" s="5">
        <f t="shared" si="2"/>
        <v>0</v>
      </c>
      <c r="G5" s="5">
        <f>VLOOKUP(A5,'Матрица поставщиков'!A6:E57,5,0) * B5</f>
        <v>3.35</v>
      </c>
      <c r="H5" s="59">
        <f t="shared" si="3"/>
        <v>0.1917001051</v>
      </c>
      <c r="I5" s="81"/>
    </row>
    <row r="6">
      <c r="A6" s="25" t="s">
        <v>120</v>
      </c>
      <c r="B6" s="120">
        <v>5.0</v>
      </c>
      <c r="C6" s="6">
        <v>5.0</v>
      </c>
      <c r="D6" s="4" t="s">
        <v>6</v>
      </c>
      <c r="E6" s="17">
        <f t="shared" si="1"/>
        <v>0</v>
      </c>
      <c r="F6" s="5">
        <f t="shared" si="2"/>
        <v>0</v>
      </c>
      <c r="G6" s="5">
        <f>VLOOKUP(A6,'Матрица поставщиков'!A7:E58,5,0) * B6</f>
        <v>6.704545455</v>
      </c>
      <c r="H6" s="59">
        <f t="shared" si="3"/>
        <v>0.3836603189</v>
      </c>
      <c r="I6" s="81"/>
    </row>
    <row r="7">
      <c r="A7" s="4" t="s">
        <v>23</v>
      </c>
      <c r="B7" s="120">
        <v>2.0</v>
      </c>
      <c r="C7" s="6">
        <v>2.0</v>
      </c>
      <c r="D7" s="4" t="s">
        <v>6</v>
      </c>
      <c r="E7" s="32">
        <f t="shared" si="1"/>
        <v>0</v>
      </c>
      <c r="F7" s="5">
        <f t="shared" si="2"/>
        <v>0</v>
      </c>
      <c r="G7" s="5">
        <f>VLOOKUP(A7,'Матрица поставщиков'!A9:E60,5,0) * B7</f>
        <v>2.114</v>
      </c>
      <c r="H7" s="59">
        <f t="shared" si="3"/>
        <v>0.1209713499</v>
      </c>
      <c r="I7" s="81"/>
    </row>
    <row r="8">
      <c r="A8" s="6" t="s">
        <v>106</v>
      </c>
      <c r="B8" s="120">
        <v>5.0</v>
      </c>
      <c r="C8" s="6">
        <v>5.0</v>
      </c>
      <c r="D8" s="4" t="s">
        <v>6</v>
      </c>
      <c r="E8" s="32">
        <f t="shared" si="1"/>
        <v>0</v>
      </c>
      <c r="F8" s="5">
        <f t="shared" si="2"/>
        <v>0</v>
      </c>
      <c r="G8" s="5">
        <f>VLOOKUP(A8,'Матрица поставщиков'!A11:E62,5,0) * B8</f>
        <v>3.5</v>
      </c>
      <c r="H8" s="59">
        <f t="shared" si="3"/>
        <v>0.2002836919</v>
      </c>
      <c r="I8" s="52"/>
    </row>
    <row r="9">
      <c r="A9" s="44" t="s">
        <v>227</v>
      </c>
      <c r="B9" s="93">
        <f t="shared" ref="B9:C9" si="4">SUM(B3:B8)</f>
        <v>19</v>
      </c>
      <c r="C9" s="93">
        <f t="shared" si="4"/>
        <v>19</v>
      </c>
      <c r="D9" s="82" t="s">
        <v>275</v>
      </c>
      <c r="E9" s="32">
        <f t="shared" ref="E9:H9" si="5">SUM(E4:E8)</f>
        <v>0</v>
      </c>
      <c r="F9" s="136">
        <f t="shared" si="5"/>
        <v>0</v>
      </c>
      <c r="G9" s="60">
        <f t="shared" si="5"/>
        <v>17.47521212</v>
      </c>
      <c r="H9" s="137">
        <f t="shared" si="5"/>
        <v>1</v>
      </c>
      <c r="I9" s="144">
        <f>B9-E9</f>
        <v>19</v>
      </c>
    </row>
    <row r="10">
      <c r="E10" s="42"/>
      <c r="F10" s="40"/>
      <c r="G10" s="42"/>
      <c r="H10" s="42"/>
    </row>
    <row r="11">
      <c r="A11" s="63" t="s">
        <v>238</v>
      </c>
    </row>
    <row r="12">
      <c r="A12" s="64" t="s">
        <v>420</v>
      </c>
      <c r="H12" s="138"/>
      <c r="I12" s="138"/>
      <c r="J12" s="138"/>
      <c r="K12" s="138"/>
      <c r="L12" s="138"/>
      <c r="M12" s="138"/>
      <c r="N12" s="138"/>
      <c r="O12" s="138"/>
      <c r="P12" s="138"/>
      <c r="Q12" s="138"/>
      <c r="R12" s="138"/>
      <c r="S12" s="138"/>
      <c r="T12" s="138"/>
      <c r="U12" s="138"/>
      <c r="V12" s="138"/>
      <c r="W12" s="138"/>
      <c r="X12" s="138"/>
      <c r="Y12" s="138"/>
    </row>
    <row r="13">
      <c r="E13" s="42"/>
      <c r="F13" s="40"/>
      <c r="G13" s="42"/>
      <c r="H13" s="42"/>
    </row>
    <row r="14">
      <c r="C14" s="66" t="s">
        <v>208</v>
      </c>
      <c r="D14" s="66" t="s">
        <v>240</v>
      </c>
      <c r="E14" s="42"/>
      <c r="F14" s="40"/>
      <c r="G14" s="42"/>
      <c r="H14" s="42"/>
    </row>
    <row r="15">
      <c r="C15" s="17">
        <v>1.0</v>
      </c>
      <c r="D15" s="131">
        <f>G9/I9*C15</f>
        <v>0.9197480064</v>
      </c>
      <c r="E15" s="42"/>
      <c r="F15" s="40"/>
      <c r="G15" s="139" t="s">
        <v>405</v>
      </c>
      <c r="H15" s="139">
        <v>38.7</v>
      </c>
    </row>
    <row r="16">
      <c r="C16" s="17">
        <v>100.0</v>
      </c>
      <c r="D16" s="140">
        <f>G9/I9*C16</f>
        <v>91.97480064</v>
      </c>
      <c r="E16" s="42"/>
      <c r="F16" s="40"/>
      <c r="G16" s="139" t="s">
        <v>406</v>
      </c>
      <c r="H16" s="139">
        <v>150.0</v>
      </c>
      <c r="I16" s="15" t="s">
        <v>407</v>
      </c>
    </row>
    <row r="17">
      <c r="E17" s="42"/>
      <c r="F17" s="40"/>
      <c r="G17" s="42"/>
      <c r="H17" s="42"/>
    </row>
    <row r="18">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sheetData>
  <autoFilter ref="$A$3:$H$8">
    <sortState ref="A3:H8">
      <sortCondition descending="1" ref="H3:H8"/>
    </sortState>
  </autoFilter>
  <mergeCells count="5">
    <mergeCell ref="A1:A2"/>
    <mergeCell ref="B1:I2"/>
    <mergeCell ref="I4:I8"/>
    <mergeCell ref="A11:I11"/>
    <mergeCell ref="A12:G12"/>
  </mergeCells>
  <conditionalFormatting sqref="H4:H8">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5.86"/>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10" width="8.71"/>
    <col customWidth="1" min="11" max="11" width="30.14"/>
    <col customWidth="1" min="12" max="28" width="8.71"/>
  </cols>
  <sheetData>
    <row r="1">
      <c r="A1" s="101" t="s">
        <v>228</v>
      </c>
      <c r="B1" s="143" t="s">
        <v>367</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25" t="s">
        <v>126</v>
      </c>
      <c r="B4" s="120">
        <v>60.0</v>
      </c>
      <c r="C4" s="6">
        <v>60.0</v>
      </c>
      <c r="D4" s="4" t="s">
        <v>6</v>
      </c>
      <c r="E4" s="17">
        <f t="shared" ref="E4:E9" si="1">B4-C4</f>
        <v>0</v>
      </c>
      <c r="F4" s="5">
        <f t="shared" ref="F4:F9" si="2">E4/B4*100</f>
        <v>0</v>
      </c>
      <c r="G4" s="5">
        <f>VLOOKUP(A4,'Матрица поставщиков'!A4:E55,5,0) * B4</f>
        <v>54.2</v>
      </c>
      <c r="H4" s="59">
        <f t="shared" ref="H4:H9" si="3">G4/$G$10</f>
        <v>0.224421349</v>
      </c>
      <c r="I4" s="103"/>
    </row>
    <row r="5">
      <c r="A5" s="6" t="s">
        <v>106</v>
      </c>
      <c r="B5" s="120">
        <v>60.0</v>
      </c>
      <c r="C5" s="6">
        <v>60.0</v>
      </c>
      <c r="D5" s="4" t="s">
        <v>6</v>
      </c>
      <c r="E5" s="17">
        <f t="shared" si="1"/>
        <v>0</v>
      </c>
      <c r="F5" s="5">
        <f t="shared" si="2"/>
        <v>0</v>
      </c>
      <c r="G5" s="5">
        <f>VLOOKUP(A5,'Матрица поставщиков'!A6:E57,5,0) * B5</f>
        <v>42</v>
      </c>
      <c r="H5" s="59">
        <f t="shared" si="3"/>
        <v>0.1739058424</v>
      </c>
      <c r="I5" s="81"/>
    </row>
    <row r="6">
      <c r="A6" s="25" t="s">
        <v>123</v>
      </c>
      <c r="B6" s="120">
        <v>50.0</v>
      </c>
      <c r="C6" s="6">
        <v>50.0</v>
      </c>
      <c r="D6" s="4" t="s">
        <v>6</v>
      </c>
      <c r="E6" s="17">
        <f t="shared" si="1"/>
        <v>0</v>
      </c>
      <c r="F6" s="5">
        <f t="shared" si="2"/>
        <v>0</v>
      </c>
      <c r="G6" s="5">
        <f>VLOOKUP(A6,'Матрица поставщиков'!A7:E58,5,0) * B6</f>
        <v>57.5</v>
      </c>
      <c r="H6" s="59">
        <f t="shared" si="3"/>
        <v>0.2380853795</v>
      </c>
      <c r="I6" s="81"/>
    </row>
    <row r="7">
      <c r="A7" s="4" t="s">
        <v>23</v>
      </c>
      <c r="B7" s="120">
        <v>30.0</v>
      </c>
      <c r="C7" s="6">
        <v>30.0</v>
      </c>
      <c r="D7" s="4" t="s">
        <v>6</v>
      </c>
      <c r="E7" s="32">
        <f t="shared" si="1"/>
        <v>0</v>
      </c>
      <c r="F7" s="5">
        <f t="shared" si="2"/>
        <v>0</v>
      </c>
      <c r="G7" s="5">
        <f>VLOOKUP(A7,'Матрица поставщиков'!A9:E600,5,0) * B7</f>
        <v>31.71</v>
      </c>
      <c r="H7" s="59">
        <f t="shared" si="3"/>
        <v>0.131298911</v>
      </c>
      <c r="I7" s="81"/>
    </row>
    <row r="8">
      <c r="A8" s="6" t="s">
        <v>190</v>
      </c>
      <c r="B8" s="120">
        <v>15.0</v>
      </c>
      <c r="C8" s="6">
        <v>15.0</v>
      </c>
      <c r="D8" s="4" t="s">
        <v>6</v>
      </c>
      <c r="E8" s="32">
        <f t="shared" si="1"/>
        <v>0</v>
      </c>
      <c r="F8" s="5">
        <f t="shared" si="2"/>
        <v>0</v>
      </c>
      <c r="G8" s="5">
        <f>VLOOKUP(A8,'Матрица поставщиков'!A11:E620,5,0) * B8</f>
        <v>20.4</v>
      </c>
      <c r="H8" s="59">
        <f t="shared" si="3"/>
        <v>0.08446855203</v>
      </c>
      <c r="I8" s="52"/>
    </row>
    <row r="9">
      <c r="A9" s="6" t="s">
        <v>189</v>
      </c>
      <c r="B9" s="120">
        <v>30.0</v>
      </c>
      <c r="C9" s="6">
        <v>30.0</v>
      </c>
      <c r="D9" s="4" t="s">
        <v>6</v>
      </c>
      <c r="E9" s="32">
        <f t="shared" si="1"/>
        <v>0</v>
      </c>
      <c r="F9" s="5">
        <f t="shared" si="2"/>
        <v>0</v>
      </c>
      <c r="G9" s="5">
        <f>VLOOKUP(A9,'Матрица поставщиков'!A12:E621,5,0) * B9</f>
        <v>35.7</v>
      </c>
      <c r="H9" s="59">
        <f t="shared" si="3"/>
        <v>0.147819966</v>
      </c>
      <c r="I9" s="126"/>
    </row>
    <row r="10">
      <c r="A10" s="44" t="s">
        <v>227</v>
      </c>
      <c r="B10" s="93">
        <f t="shared" ref="B10:C10" si="4">SUM(B3:B8)</f>
        <v>215</v>
      </c>
      <c r="C10" s="93">
        <f t="shared" si="4"/>
        <v>215</v>
      </c>
      <c r="D10" s="82" t="s">
        <v>275</v>
      </c>
      <c r="E10" s="32">
        <f t="shared" ref="E10:F10" si="5">SUM(E4:E8)</f>
        <v>0</v>
      </c>
      <c r="F10" s="136">
        <f t="shared" si="5"/>
        <v>0</v>
      </c>
      <c r="G10" s="60">
        <f t="shared" ref="G10:H10" si="6">SUM(G4:G9)</f>
        <v>241.51</v>
      </c>
      <c r="H10" s="137">
        <f t="shared" si="6"/>
        <v>1</v>
      </c>
      <c r="I10" s="144">
        <f>B10-E10</f>
        <v>215</v>
      </c>
    </row>
    <row r="11">
      <c r="E11" s="42"/>
      <c r="F11" s="40"/>
      <c r="G11" s="42"/>
      <c r="H11" s="42"/>
    </row>
    <row r="12">
      <c r="A12" s="63" t="s">
        <v>238</v>
      </c>
    </row>
    <row r="13">
      <c r="A13" s="64" t="s">
        <v>421</v>
      </c>
      <c r="H13" s="138"/>
      <c r="I13" s="138"/>
      <c r="J13" s="138"/>
      <c r="K13" s="138"/>
      <c r="L13" s="138"/>
      <c r="M13" s="138"/>
      <c r="N13" s="138"/>
      <c r="O13" s="138"/>
      <c r="P13" s="138"/>
      <c r="Q13" s="138"/>
      <c r="R13" s="138"/>
      <c r="S13" s="138"/>
      <c r="T13" s="138"/>
      <c r="U13" s="138"/>
      <c r="V13" s="138"/>
      <c r="W13" s="138"/>
      <c r="X13" s="138"/>
      <c r="Y13" s="138"/>
    </row>
    <row r="14">
      <c r="E14" s="42"/>
      <c r="F14" s="40"/>
      <c r="G14" s="42"/>
      <c r="H14" s="42"/>
    </row>
    <row r="15">
      <c r="C15" s="66" t="s">
        <v>208</v>
      </c>
      <c r="D15" s="66" t="s">
        <v>240</v>
      </c>
      <c r="E15" s="42"/>
      <c r="F15" s="40"/>
      <c r="G15" s="42"/>
      <c r="H15" s="42"/>
    </row>
    <row r="16">
      <c r="C16" s="17">
        <v>1.0</v>
      </c>
      <c r="D16" s="131">
        <f>G10/I10*C16</f>
        <v>1.123302326</v>
      </c>
      <c r="E16" s="42"/>
      <c r="F16" s="40"/>
      <c r="G16" s="139" t="s">
        <v>405</v>
      </c>
      <c r="H16" s="139">
        <v>38.7</v>
      </c>
    </row>
    <row r="17">
      <c r="C17" s="17">
        <v>100.0</v>
      </c>
      <c r="D17" s="140">
        <f>G10/I10*C17</f>
        <v>112.3302326</v>
      </c>
      <c r="E17" s="42"/>
      <c r="F17" s="40"/>
      <c r="G17" s="139" t="s">
        <v>406</v>
      </c>
      <c r="H17" s="139">
        <v>150.0</v>
      </c>
      <c r="I17" s="15" t="s">
        <v>407</v>
      </c>
    </row>
    <row r="18">
      <c r="E18" s="42"/>
      <c r="F18" s="40"/>
      <c r="G18" s="42"/>
      <c r="H18" s="42"/>
    </row>
    <row r="19">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sheetData>
  <autoFilter ref="$A$3:$H$9">
    <sortState ref="A3:H9">
      <sortCondition descending="1" ref="H3:H9"/>
    </sortState>
  </autoFilter>
  <mergeCells count="5">
    <mergeCell ref="A1:A2"/>
    <mergeCell ref="B1:I2"/>
    <mergeCell ref="I4:I8"/>
    <mergeCell ref="A12:I12"/>
    <mergeCell ref="A13:G13"/>
  </mergeCells>
  <conditionalFormatting sqref="H4:H9">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333</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21</v>
      </c>
      <c r="B4" s="6">
        <v>400.0</v>
      </c>
      <c r="C4" s="6">
        <v>400.0</v>
      </c>
      <c r="D4" s="4" t="s">
        <v>6</v>
      </c>
      <c r="E4" s="17">
        <f t="shared" ref="E4:E12" si="1">B4-C4</f>
        <v>0</v>
      </c>
      <c r="F4" s="5">
        <f t="shared" ref="F4:F12" si="2">E4/B4*100</f>
        <v>0</v>
      </c>
      <c r="G4" s="5">
        <f>VLOOKUP(A4,'Матрица поставщиков'!A1:E52,5,0) * B4</f>
        <v>41.2</v>
      </c>
      <c r="H4" s="59">
        <f t="shared" ref="H4:H12" si="3">G4/$G$13</f>
        <v>0.7658042169</v>
      </c>
      <c r="I4" s="103"/>
    </row>
    <row r="5">
      <c r="A5" s="6" t="s">
        <v>393</v>
      </c>
      <c r="B5" s="6">
        <v>200.0</v>
      </c>
      <c r="C5" s="6">
        <v>200.0</v>
      </c>
      <c r="D5" s="4" t="s">
        <v>6</v>
      </c>
      <c r="E5" s="17">
        <f t="shared" si="1"/>
        <v>0</v>
      </c>
      <c r="F5" s="5">
        <f t="shared" si="2"/>
        <v>0</v>
      </c>
      <c r="G5" s="5">
        <f>VLOOKUP(A5,'Матрица поставщиков'!A2:E53,5,0) * B5</f>
        <v>0</v>
      </c>
      <c r="H5" s="59">
        <f t="shared" si="3"/>
        <v>0</v>
      </c>
      <c r="I5" s="81"/>
    </row>
    <row r="6">
      <c r="A6" s="6" t="s">
        <v>121</v>
      </c>
      <c r="B6" s="6">
        <v>10.0</v>
      </c>
      <c r="C6" s="6">
        <v>10.0</v>
      </c>
      <c r="D6" s="4" t="s">
        <v>6</v>
      </c>
      <c r="E6" s="17">
        <f t="shared" si="1"/>
        <v>0</v>
      </c>
      <c r="F6" s="5">
        <f t="shared" si="2"/>
        <v>0</v>
      </c>
      <c r="G6" s="5">
        <f>VLOOKUP(A6,'Матрица поставщиков'!A3:E54,5,0) * B6</f>
        <v>2.84</v>
      </c>
      <c r="H6" s="59">
        <f t="shared" si="3"/>
        <v>0.05278844602</v>
      </c>
      <c r="I6" s="81"/>
    </row>
    <row r="7">
      <c r="A7" s="25" t="s">
        <v>172</v>
      </c>
      <c r="B7" s="120">
        <v>10.0</v>
      </c>
      <c r="C7" s="6">
        <v>10.0</v>
      </c>
      <c r="D7" s="4" t="s">
        <v>6</v>
      </c>
      <c r="E7" s="17">
        <f t="shared" si="1"/>
        <v>0</v>
      </c>
      <c r="F7" s="5">
        <f t="shared" si="2"/>
        <v>0</v>
      </c>
      <c r="G7" s="5">
        <f>VLOOKUP(A7,'Матрица поставщиков'!A4:E550,5,0) * B7</f>
        <v>2.72</v>
      </c>
      <c r="H7" s="59">
        <f t="shared" si="3"/>
        <v>0.0505579483</v>
      </c>
      <c r="I7" s="81"/>
    </row>
    <row r="8">
      <c r="A8" s="25" t="s">
        <v>120</v>
      </c>
      <c r="B8" s="120">
        <v>2.0</v>
      </c>
      <c r="C8" s="6">
        <v>2.0</v>
      </c>
      <c r="D8" s="4" t="s">
        <v>6</v>
      </c>
      <c r="E8" s="17">
        <f t="shared" si="1"/>
        <v>0</v>
      </c>
      <c r="F8" s="5">
        <f t="shared" si="2"/>
        <v>0</v>
      </c>
      <c r="G8" s="5">
        <f>VLOOKUP(A8,'Матрица поставщиков'!A7:E58,5,0) * B8</f>
        <v>2.681818182</v>
      </c>
      <c r="H8" s="59">
        <f t="shared" si="3"/>
        <v>0.04984824448</v>
      </c>
      <c r="I8" s="81"/>
    </row>
    <row r="9">
      <c r="A9" s="4" t="s">
        <v>23</v>
      </c>
      <c r="B9" s="120">
        <v>1.0</v>
      </c>
      <c r="C9" s="6">
        <v>1.0</v>
      </c>
      <c r="D9" s="4" t="s">
        <v>6</v>
      </c>
      <c r="E9" s="32">
        <f t="shared" si="1"/>
        <v>0</v>
      </c>
      <c r="F9" s="5">
        <f t="shared" si="2"/>
        <v>0</v>
      </c>
      <c r="G9" s="5">
        <f>VLOOKUP(A9,'Матрица поставщиков'!A9:E60,5,0) * B9</f>
        <v>1.057</v>
      </c>
      <c r="H9" s="59">
        <f t="shared" si="3"/>
        <v>0.01964696741</v>
      </c>
      <c r="I9" s="81"/>
    </row>
    <row r="10">
      <c r="A10" s="6" t="s">
        <v>15</v>
      </c>
      <c r="B10" s="120">
        <v>10.0</v>
      </c>
      <c r="C10" s="6">
        <v>10.0</v>
      </c>
      <c r="D10" s="4" t="s">
        <v>6</v>
      </c>
      <c r="E10" s="32">
        <f t="shared" si="1"/>
        <v>0</v>
      </c>
      <c r="F10" s="5">
        <f t="shared" si="2"/>
        <v>0</v>
      </c>
      <c r="G10" s="5">
        <f>VLOOKUP(A10,'Матрица поставщиков'!A10:E61,5,0) * B10</f>
        <v>0.69</v>
      </c>
      <c r="H10" s="59">
        <f t="shared" si="3"/>
        <v>0.01282536189</v>
      </c>
      <c r="I10" s="81"/>
    </row>
    <row r="11">
      <c r="A11" s="4" t="s">
        <v>17</v>
      </c>
      <c r="B11" s="93">
        <v>7.5</v>
      </c>
      <c r="C11" s="6">
        <v>7.5</v>
      </c>
      <c r="D11" s="4" t="s">
        <v>6</v>
      </c>
      <c r="E11" s="32">
        <f t="shared" si="1"/>
        <v>0</v>
      </c>
      <c r="F11" s="5">
        <f t="shared" si="2"/>
        <v>0</v>
      </c>
      <c r="G11" s="5">
        <f>VLOOKUP(A11,'Матрица поставщиков'!A10:E61,5,0) * B11</f>
        <v>0.315</v>
      </c>
      <c r="H11" s="59">
        <f t="shared" si="3"/>
        <v>0.005855056513</v>
      </c>
      <c r="I11" s="81"/>
    </row>
    <row r="12">
      <c r="A12" s="6" t="s">
        <v>170</v>
      </c>
      <c r="B12" s="120">
        <v>2.0</v>
      </c>
      <c r="C12" s="6">
        <v>2.0</v>
      </c>
      <c r="D12" s="4" t="s">
        <v>6</v>
      </c>
      <c r="E12" s="32">
        <f t="shared" si="1"/>
        <v>0</v>
      </c>
      <c r="F12" s="5">
        <f t="shared" si="2"/>
        <v>0</v>
      </c>
      <c r="G12" s="5">
        <f>VLOOKUP(A12,'Матрица поставщиков'!A11:E620,5,0) * B12</f>
        <v>2.295833333</v>
      </c>
      <c r="H12" s="59">
        <f t="shared" si="3"/>
        <v>0.04267375845</v>
      </c>
      <c r="I12" s="52"/>
    </row>
    <row r="13">
      <c r="A13" s="44" t="s">
        <v>227</v>
      </c>
      <c r="B13" s="93">
        <f t="shared" ref="B13:C13" si="4">SUM(B3:B12)</f>
        <v>642.5</v>
      </c>
      <c r="C13" s="93">
        <f t="shared" si="4"/>
        <v>642.5</v>
      </c>
      <c r="D13" s="82" t="s">
        <v>275</v>
      </c>
      <c r="E13" s="32">
        <f t="shared" ref="E13:H13" si="5">SUM(E4:E12)</f>
        <v>0</v>
      </c>
      <c r="F13" s="136">
        <f t="shared" si="5"/>
        <v>0</v>
      </c>
      <c r="G13" s="60">
        <f t="shared" si="5"/>
        <v>53.79965152</v>
      </c>
      <c r="H13" s="137">
        <f t="shared" si="5"/>
        <v>1</v>
      </c>
      <c r="I13" s="144">
        <f>B13-E13</f>
        <v>642.5</v>
      </c>
    </row>
    <row r="14">
      <c r="E14" s="42"/>
      <c r="F14" s="40"/>
      <c r="G14" s="42"/>
      <c r="H14" s="42"/>
    </row>
    <row r="15">
      <c r="A15" s="63" t="s">
        <v>238</v>
      </c>
    </row>
    <row r="16">
      <c r="A16" s="64" t="s">
        <v>422</v>
      </c>
      <c r="H16" s="138"/>
      <c r="I16" s="138"/>
      <c r="J16" s="138"/>
      <c r="K16" s="138"/>
      <c r="L16" s="138"/>
      <c r="M16" s="138"/>
      <c r="N16" s="138"/>
      <c r="O16" s="138"/>
      <c r="P16" s="138"/>
      <c r="Q16" s="138"/>
      <c r="R16" s="138"/>
      <c r="S16" s="138"/>
      <c r="T16" s="138"/>
      <c r="U16" s="138"/>
      <c r="V16" s="138"/>
      <c r="W16" s="138"/>
      <c r="X16" s="138"/>
      <c r="Y16" s="138"/>
    </row>
    <row r="17">
      <c r="E17" s="42"/>
      <c r="F17" s="40"/>
      <c r="G17" s="42"/>
      <c r="H17" s="42"/>
    </row>
    <row r="18">
      <c r="C18" s="66" t="s">
        <v>208</v>
      </c>
      <c r="D18" s="66" t="s">
        <v>240</v>
      </c>
      <c r="E18" s="42"/>
      <c r="F18" s="40"/>
      <c r="G18" s="42"/>
      <c r="H18" s="42"/>
    </row>
    <row r="19">
      <c r="C19" s="17">
        <v>100.0</v>
      </c>
      <c r="D19" s="131">
        <f>G13/I13*C19</f>
        <v>8.373486617</v>
      </c>
      <c r="E19" s="42"/>
      <c r="F19" s="40"/>
      <c r="G19" s="139"/>
      <c r="H19" s="139"/>
    </row>
    <row r="20">
      <c r="C20" s="17">
        <v>1000.0</v>
      </c>
      <c r="D20" s="140">
        <f>G13/I13*C20</f>
        <v>83.73486617</v>
      </c>
      <c r="E20" s="42"/>
      <c r="F20" s="40"/>
      <c r="G20" s="139"/>
      <c r="H20" s="139"/>
    </row>
    <row r="21">
      <c r="C21" s="15">
        <v>1.0</v>
      </c>
      <c r="D21" s="145">
        <f>G13/I13*C21</f>
        <v>0.08373486617</v>
      </c>
      <c r="E21" s="42"/>
      <c r="F21" s="40"/>
      <c r="G21" s="42"/>
      <c r="H21" s="42"/>
    </row>
    <row r="22">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row r="1001" ht="15.75" customHeight="1">
      <c r="E1001" s="42"/>
      <c r="F1001" s="40"/>
      <c r="G1001" s="42"/>
      <c r="H1001" s="42"/>
    </row>
    <row r="1002" ht="15.75" customHeight="1">
      <c r="E1002" s="42"/>
      <c r="F1002" s="40"/>
      <c r="G1002" s="42"/>
      <c r="H1002" s="42"/>
    </row>
  </sheetData>
  <autoFilter ref="$A$3:$H$12">
    <sortState ref="A3:H12">
      <sortCondition descending="1" ref="H3:H12"/>
    </sortState>
  </autoFilter>
  <mergeCells count="5">
    <mergeCell ref="A1:A2"/>
    <mergeCell ref="B1:I2"/>
    <mergeCell ref="I4:I12"/>
    <mergeCell ref="A15:I15"/>
    <mergeCell ref="A16:G16"/>
  </mergeCells>
  <conditionalFormatting sqref="H4:H12">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334</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69</v>
      </c>
      <c r="B4" s="6">
        <v>350.0</v>
      </c>
      <c r="C4" s="6">
        <v>300.0</v>
      </c>
      <c r="D4" s="4" t="s">
        <v>6</v>
      </c>
      <c r="E4" s="17">
        <f t="shared" ref="E4:E9" si="1">B4-C4</f>
        <v>50</v>
      </c>
      <c r="F4" s="5">
        <f t="shared" ref="F4:F9" si="2">E4/B4*100</f>
        <v>14.28571429</v>
      </c>
      <c r="G4" s="5">
        <f>VLOOKUP(A4,'Матрица поставщиков'!A1:E52,5,0) * B4</f>
        <v>19.95</v>
      </c>
      <c r="H4" s="59">
        <f t="shared" ref="H4:H9" si="3">G4/$G$10</f>
        <v>0.492058011</v>
      </c>
      <c r="I4" s="103"/>
    </row>
    <row r="5">
      <c r="A5" s="6" t="s">
        <v>76</v>
      </c>
      <c r="B5" s="6">
        <v>30.0</v>
      </c>
      <c r="C5" s="6">
        <v>0.0</v>
      </c>
      <c r="D5" s="4" t="s">
        <v>6</v>
      </c>
      <c r="E5" s="17">
        <f t="shared" si="1"/>
        <v>30</v>
      </c>
      <c r="F5" s="5">
        <f t="shared" si="2"/>
        <v>100</v>
      </c>
      <c r="G5" s="5">
        <f>VLOOKUP(A5,'Матрица поставщиков'!A2:E53,5,0) * B5</f>
        <v>6.96</v>
      </c>
      <c r="H5" s="59">
        <f t="shared" si="3"/>
        <v>0.1716653512</v>
      </c>
      <c r="I5" s="81"/>
    </row>
    <row r="6">
      <c r="A6" s="25" t="s">
        <v>123</v>
      </c>
      <c r="B6" s="120">
        <v>10.0</v>
      </c>
      <c r="C6" s="6">
        <v>0.0</v>
      </c>
      <c r="D6" s="4" t="s">
        <v>6</v>
      </c>
      <c r="E6" s="17">
        <f t="shared" si="1"/>
        <v>10</v>
      </c>
      <c r="F6" s="5">
        <f t="shared" si="2"/>
        <v>100</v>
      </c>
      <c r="G6" s="5">
        <f>VLOOKUP(A6,'Матрица поставщиков'!A7:E58,5,0) * B6</f>
        <v>11.5</v>
      </c>
      <c r="H6" s="59">
        <f t="shared" si="3"/>
        <v>0.2836424625</v>
      </c>
      <c r="I6" s="81"/>
    </row>
    <row r="7">
      <c r="A7" s="4" t="s">
        <v>23</v>
      </c>
      <c r="B7" s="120">
        <v>1.0</v>
      </c>
      <c r="C7" s="6">
        <v>0.0</v>
      </c>
      <c r="D7" s="4" t="s">
        <v>6</v>
      </c>
      <c r="E7" s="32">
        <f t="shared" si="1"/>
        <v>1</v>
      </c>
      <c r="F7" s="5">
        <f t="shared" si="2"/>
        <v>100</v>
      </c>
      <c r="G7" s="5">
        <f>VLOOKUP(A7,'Матрица поставщиков'!A9:E60,5,0) * B7</f>
        <v>1.057</v>
      </c>
      <c r="H7" s="59">
        <f t="shared" si="3"/>
        <v>0.02607044199</v>
      </c>
      <c r="I7" s="81"/>
    </row>
    <row r="8">
      <c r="A8" s="6" t="s">
        <v>15</v>
      </c>
      <c r="B8" s="120">
        <v>15.0</v>
      </c>
      <c r="C8" s="6">
        <v>0.0</v>
      </c>
      <c r="D8" s="4" t="s">
        <v>6</v>
      </c>
      <c r="E8" s="32">
        <f t="shared" si="1"/>
        <v>15</v>
      </c>
      <c r="F8" s="5">
        <f t="shared" si="2"/>
        <v>100</v>
      </c>
      <c r="G8" s="5">
        <f>VLOOKUP(A8,'Матрица поставщиков'!A10:E61,5,0) * B8</f>
        <v>1.035</v>
      </c>
      <c r="H8" s="59">
        <f t="shared" si="3"/>
        <v>0.02552782163</v>
      </c>
      <c r="I8" s="81"/>
    </row>
    <row r="9">
      <c r="A9" s="4" t="s">
        <v>17</v>
      </c>
      <c r="B9" s="93">
        <v>1.0</v>
      </c>
      <c r="C9" s="6">
        <v>0.0</v>
      </c>
      <c r="D9" s="4" t="s">
        <v>6</v>
      </c>
      <c r="E9" s="32">
        <f t="shared" si="1"/>
        <v>1</v>
      </c>
      <c r="F9" s="5">
        <f t="shared" si="2"/>
        <v>100</v>
      </c>
      <c r="G9" s="5">
        <f>VLOOKUP(A9,'Матрица поставщиков'!A10:E61,5,0) * B9</f>
        <v>0.042</v>
      </c>
      <c r="H9" s="59">
        <f t="shared" si="3"/>
        <v>0.001035911602</v>
      </c>
      <c r="I9" s="52"/>
    </row>
    <row r="10">
      <c r="A10" s="44" t="s">
        <v>227</v>
      </c>
      <c r="B10" s="93">
        <f t="shared" ref="B10:C10" si="4">SUM(B3:B9)</f>
        <v>407</v>
      </c>
      <c r="C10" s="93">
        <f t="shared" si="4"/>
        <v>300</v>
      </c>
      <c r="D10" s="82" t="s">
        <v>275</v>
      </c>
      <c r="E10" s="32">
        <f t="shared" ref="E10:H10" si="5">SUM(E4:E9)</f>
        <v>107</v>
      </c>
      <c r="F10" s="136">
        <f t="shared" si="5"/>
        <v>514.2857143</v>
      </c>
      <c r="G10" s="60">
        <f t="shared" si="5"/>
        <v>40.544</v>
      </c>
      <c r="H10" s="137">
        <f t="shared" si="5"/>
        <v>1</v>
      </c>
      <c r="I10" s="144">
        <f>B10-E10</f>
        <v>300</v>
      </c>
    </row>
    <row r="11">
      <c r="E11" s="42"/>
      <c r="F11" s="40"/>
      <c r="G11" s="42"/>
      <c r="H11" s="42"/>
    </row>
    <row r="12">
      <c r="A12" s="63" t="s">
        <v>238</v>
      </c>
    </row>
    <row r="13">
      <c r="A13" s="64" t="s">
        <v>423</v>
      </c>
      <c r="H13" s="138"/>
      <c r="I13" s="138"/>
      <c r="J13" s="138"/>
      <c r="K13" s="138"/>
      <c r="L13" s="138"/>
      <c r="M13" s="138"/>
      <c r="N13" s="138"/>
      <c r="O13" s="138"/>
      <c r="P13" s="138"/>
      <c r="Q13" s="138"/>
      <c r="R13" s="138"/>
      <c r="S13" s="138"/>
      <c r="T13" s="138"/>
      <c r="U13" s="138"/>
      <c r="V13" s="138"/>
      <c r="W13" s="138"/>
      <c r="X13" s="138"/>
      <c r="Y13" s="138"/>
    </row>
    <row r="14">
      <c r="E14" s="42"/>
      <c r="F14" s="40"/>
      <c r="G14" s="42"/>
      <c r="H14" s="42"/>
    </row>
    <row r="15">
      <c r="C15" s="66" t="s">
        <v>208</v>
      </c>
      <c r="D15" s="66" t="s">
        <v>240</v>
      </c>
      <c r="E15" s="42"/>
      <c r="F15" s="40"/>
      <c r="G15" s="42"/>
      <c r="H15" s="42"/>
    </row>
    <row r="16">
      <c r="C16" s="17">
        <v>100.0</v>
      </c>
      <c r="D16" s="131">
        <f>G10/I10*C16</f>
        <v>13.51466667</v>
      </c>
      <c r="E16" s="42"/>
      <c r="F16" s="40"/>
      <c r="G16" s="139" t="s">
        <v>405</v>
      </c>
      <c r="H16" s="139">
        <v>38.7</v>
      </c>
    </row>
    <row r="17">
      <c r="C17" s="17">
        <v>1000.0</v>
      </c>
      <c r="D17" s="140">
        <f>G10/I10*C17</f>
        <v>135.1466667</v>
      </c>
      <c r="E17" s="42"/>
      <c r="F17" s="40"/>
      <c r="G17" s="139" t="s">
        <v>406</v>
      </c>
      <c r="H17" s="139">
        <v>150.0</v>
      </c>
      <c r="I17" s="15" t="s">
        <v>407</v>
      </c>
    </row>
    <row r="18">
      <c r="C18" s="15">
        <v>1.0</v>
      </c>
      <c r="D18" s="145">
        <f>G10/I10*C18</f>
        <v>0.1351466667</v>
      </c>
      <c r="E18" s="42"/>
      <c r="F18" s="40"/>
      <c r="G18" s="42"/>
      <c r="H18" s="42"/>
    </row>
    <row r="19">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sheetData>
  <autoFilter ref="$A$3:$H$9">
    <sortState ref="A3:H9">
      <sortCondition descending="1" ref="H3:H9"/>
    </sortState>
  </autoFilter>
  <mergeCells count="5">
    <mergeCell ref="A1:A2"/>
    <mergeCell ref="B1:I2"/>
    <mergeCell ref="I4:I9"/>
    <mergeCell ref="A12:I12"/>
    <mergeCell ref="A13:G13"/>
  </mergeCells>
  <conditionalFormatting sqref="H4:H9">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143" t="s">
        <v>370</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69</v>
      </c>
      <c r="B4" s="6">
        <v>350.0</v>
      </c>
      <c r="C4" s="6">
        <v>300.0</v>
      </c>
      <c r="D4" s="4" t="s">
        <v>6</v>
      </c>
      <c r="E4" s="17">
        <f t="shared" ref="E4:E8" si="1">B4-C4</f>
        <v>50</v>
      </c>
      <c r="F4" s="5">
        <f t="shared" ref="F4:F8" si="2">E4/B4*100</f>
        <v>14.28571429</v>
      </c>
      <c r="G4" s="5">
        <f>VLOOKUP(A4,'Матрица поставщиков'!A1:E52,5,0) * B4</f>
        <v>19.95</v>
      </c>
      <c r="H4" s="59">
        <f t="shared" ref="H4:H8" si="3">G4/$G$9</f>
        <v>0.4860282116</v>
      </c>
      <c r="I4" s="103"/>
    </row>
    <row r="5">
      <c r="A5" s="6" t="s">
        <v>121</v>
      </c>
      <c r="B5" s="6">
        <v>30.0</v>
      </c>
      <c r="C5" s="6">
        <v>0.0</v>
      </c>
      <c r="D5" s="4" t="s">
        <v>6</v>
      </c>
      <c r="E5" s="17">
        <f t="shared" si="1"/>
        <v>30</v>
      </c>
      <c r="F5" s="5">
        <f t="shared" si="2"/>
        <v>100</v>
      </c>
      <c r="G5" s="5">
        <f>VLOOKUP(A5,'Матрица поставщиков'!A2:E53,5,0) * B5</f>
        <v>8.52</v>
      </c>
      <c r="H5" s="59">
        <f t="shared" si="3"/>
        <v>0.2075669355</v>
      </c>
      <c r="I5" s="81"/>
    </row>
    <row r="6">
      <c r="A6" s="25" t="s">
        <v>123</v>
      </c>
      <c r="B6" s="120">
        <v>10.0</v>
      </c>
      <c r="C6" s="6">
        <v>0.0</v>
      </c>
      <c r="D6" s="4" t="s">
        <v>6</v>
      </c>
      <c r="E6" s="17">
        <f t="shared" si="1"/>
        <v>10</v>
      </c>
      <c r="F6" s="5">
        <f t="shared" si="2"/>
        <v>100</v>
      </c>
      <c r="G6" s="5">
        <f>VLOOKUP(A6,'Матрица поставщиков'!A7:E58,5,0) * B6</f>
        <v>11.5</v>
      </c>
      <c r="H6" s="59">
        <f t="shared" si="3"/>
        <v>0.2801666382</v>
      </c>
      <c r="I6" s="81"/>
    </row>
    <row r="7">
      <c r="A7" s="6" t="s">
        <v>15</v>
      </c>
      <c r="B7" s="120">
        <v>15.0</v>
      </c>
      <c r="C7" s="6">
        <v>0.0</v>
      </c>
      <c r="D7" s="4" t="s">
        <v>6</v>
      </c>
      <c r="E7" s="32">
        <f t="shared" si="1"/>
        <v>15</v>
      </c>
      <c r="F7" s="5">
        <f t="shared" si="2"/>
        <v>100</v>
      </c>
      <c r="G7" s="5">
        <f>VLOOKUP(A7,'Матрица поставщиков'!A10:E61,5,0) * B7</f>
        <v>1.035</v>
      </c>
      <c r="H7" s="59">
        <f t="shared" si="3"/>
        <v>0.02521499744</v>
      </c>
      <c r="I7" s="81"/>
    </row>
    <row r="8">
      <c r="A8" s="4" t="s">
        <v>17</v>
      </c>
      <c r="B8" s="93">
        <v>1.0</v>
      </c>
      <c r="C8" s="6">
        <v>0.0</v>
      </c>
      <c r="D8" s="4" t="s">
        <v>6</v>
      </c>
      <c r="E8" s="32">
        <f t="shared" si="1"/>
        <v>1</v>
      </c>
      <c r="F8" s="5">
        <f t="shared" si="2"/>
        <v>100</v>
      </c>
      <c r="G8" s="5">
        <f>VLOOKUP(A8,'Матрица поставщиков'!A10:E61,5,0) * B8</f>
        <v>0.042</v>
      </c>
      <c r="H8" s="59">
        <f t="shared" si="3"/>
        <v>0.001023217287</v>
      </c>
      <c r="I8" s="52"/>
    </row>
    <row r="9">
      <c r="A9" s="44" t="s">
        <v>227</v>
      </c>
      <c r="B9" s="93">
        <f t="shared" ref="B9:C9" si="4">SUM(B3:B8)</f>
        <v>406</v>
      </c>
      <c r="C9" s="93">
        <f t="shared" si="4"/>
        <v>300</v>
      </c>
      <c r="D9" s="82" t="s">
        <v>275</v>
      </c>
      <c r="E9" s="32">
        <f t="shared" ref="E9:H9" si="5">SUM(E4:E8)</f>
        <v>106</v>
      </c>
      <c r="F9" s="136">
        <f t="shared" si="5"/>
        <v>414.2857143</v>
      </c>
      <c r="G9" s="60">
        <f t="shared" si="5"/>
        <v>41.047</v>
      </c>
      <c r="H9" s="137">
        <f t="shared" si="5"/>
        <v>1</v>
      </c>
      <c r="I9" s="144">
        <f>B9-E9</f>
        <v>300</v>
      </c>
    </row>
    <row r="10">
      <c r="E10" s="42"/>
      <c r="F10" s="40"/>
      <c r="G10" s="42"/>
      <c r="H10" s="42"/>
    </row>
    <row r="11">
      <c r="A11" s="63" t="s">
        <v>238</v>
      </c>
    </row>
    <row r="12">
      <c r="A12" s="64" t="s">
        <v>424</v>
      </c>
      <c r="H12" s="138"/>
      <c r="I12" s="138"/>
      <c r="J12" s="138"/>
      <c r="K12" s="138"/>
      <c r="L12" s="138"/>
      <c r="M12" s="138"/>
      <c r="N12" s="138"/>
      <c r="O12" s="138"/>
      <c r="P12" s="138"/>
      <c r="Q12" s="138"/>
      <c r="R12" s="138"/>
      <c r="S12" s="138"/>
      <c r="T12" s="138"/>
      <c r="U12" s="138"/>
      <c r="V12" s="138"/>
      <c r="W12" s="138"/>
      <c r="X12" s="138"/>
      <c r="Y12" s="138"/>
    </row>
    <row r="13">
      <c r="E13" s="42"/>
      <c r="F13" s="40"/>
      <c r="G13" s="42"/>
      <c r="H13" s="42"/>
    </row>
    <row r="14">
      <c r="C14" s="66" t="s">
        <v>208</v>
      </c>
      <c r="D14" s="66" t="s">
        <v>240</v>
      </c>
      <c r="E14" s="42"/>
      <c r="F14" s="40"/>
      <c r="G14" s="42"/>
      <c r="H14" s="42"/>
    </row>
    <row r="15">
      <c r="C15" s="17">
        <v>100.0</v>
      </c>
      <c r="D15" s="131">
        <f>G9/I9*C15</f>
        <v>13.68233333</v>
      </c>
      <c r="E15" s="42"/>
      <c r="F15" s="40"/>
      <c r="G15" s="139" t="s">
        <v>405</v>
      </c>
      <c r="H15" s="139">
        <v>38.7</v>
      </c>
    </row>
    <row r="16">
      <c r="C16" s="17">
        <v>1000.0</v>
      </c>
      <c r="D16" s="140">
        <f>G9/I9*C16</f>
        <v>136.8233333</v>
      </c>
      <c r="E16" s="42"/>
      <c r="F16" s="40"/>
      <c r="G16" s="139" t="s">
        <v>406</v>
      </c>
      <c r="H16" s="139">
        <v>150.0</v>
      </c>
      <c r="I16" s="15" t="s">
        <v>407</v>
      </c>
    </row>
    <row r="17">
      <c r="C17" s="15">
        <v>1.0</v>
      </c>
      <c r="D17" s="145">
        <f>G9/I9*C17</f>
        <v>0.1368233333</v>
      </c>
      <c r="E17" s="42"/>
      <c r="F17" s="40"/>
      <c r="G17" s="42"/>
      <c r="H17" s="42"/>
    </row>
    <row r="18">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sheetData>
  <autoFilter ref="$A$3:$H$8">
    <sortState ref="A3:H8">
      <sortCondition descending="1" ref="H3:H8"/>
    </sortState>
  </autoFilter>
  <mergeCells count="5">
    <mergeCell ref="A1:A2"/>
    <mergeCell ref="B1:I2"/>
    <mergeCell ref="I4:I8"/>
    <mergeCell ref="A11:I11"/>
    <mergeCell ref="A12:G12"/>
  </mergeCells>
  <conditionalFormatting sqref="H4:H8">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425</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122</v>
      </c>
      <c r="B4" s="6">
        <v>2000.0</v>
      </c>
      <c r="C4" s="6">
        <v>1950.0</v>
      </c>
      <c r="D4" s="4" t="s">
        <v>6</v>
      </c>
      <c r="E4" s="17">
        <f t="shared" ref="E4:E10" si="1">B4-C4</f>
        <v>50</v>
      </c>
      <c r="F4" s="5">
        <f t="shared" ref="F4:F10" si="2">E4/B4*100</f>
        <v>2.5</v>
      </c>
      <c r="G4" s="5">
        <f>VLOOKUP(A4,'Матрица поставщиков'!A1:E52,5,0) * B4</f>
        <v>1679</v>
      </c>
      <c r="H4" s="59">
        <f t="shared" ref="H4:H10" si="3">G4/$G$11</f>
        <v>0.9946090831</v>
      </c>
      <c r="I4" s="103"/>
    </row>
    <row r="5">
      <c r="A5" s="6" t="s">
        <v>170</v>
      </c>
      <c r="B5" s="6">
        <v>2.0</v>
      </c>
      <c r="C5" s="6">
        <v>0.0</v>
      </c>
      <c r="D5" s="4" t="s">
        <v>6</v>
      </c>
      <c r="E5" s="17">
        <f t="shared" si="1"/>
        <v>2</v>
      </c>
      <c r="F5" s="5">
        <f t="shared" si="2"/>
        <v>100</v>
      </c>
      <c r="G5" s="5">
        <f>VLOOKUP(A5,'Матрица поставщиков'!A3:E545,5,0) * B5</f>
        <v>2.295833333</v>
      </c>
      <c r="H5" s="59">
        <f t="shared" si="3"/>
        <v>0.001360009938</v>
      </c>
      <c r="I5" s="81"/>
    </row>
    <row r="6">
      <c r="A6" s="25" t="s">
        <v>126</v>
      </c>
      <c r="B6" s="120">
        <v>2.0</v>
      </c>
      <c r="C6" s="6">
        <v>0.0</v>
      </c>
      <c r="D6" s="4" t="s">
        <v>6</v>
      </c>
      <c r="E6" s="17">
        <f t="shared" si="1"/>
        <v>2</v>
      </c>
      <c r="F6" s="5">
        <f t="shared" si="2"/>
        <v>100</v>
      </c>
      <c r="G6" s="5">
        <f>VLOOKUP(A6,'Матрица поставщиков'!A4:E55,5,0) * B6</f>
        <v>1.806666667</v>
      </c>
      <c r="H6" s="59">
        <f t="shared" si="3"/>
        <v>0.001070236496</v>
      </c>
      <c r="I6" s="81"/>
    </row>
    <row r="7">
      <c r="A7" s="6" t="s">
        <v>119</v>
      </c>
      <c r="B7" s="120">
        <v>2.0</v>
      </c>
      <c r="C7" s="6">
        <v>0.0</v>
      </c>
      <c r="D7" s="4" t="s">
        <v>6</v>
      </c>
      <c r="E7" s="17">
        <f t="shared" si="1"/>
        <v>2</v>
      </c>
      <c r="F7" s="5">
        <f t="shared" si="2"/>
        <v>100</v>
      </c>
      <c r="G7" s="5">
        <f>VLOOKUP(A7,'Матрица поставщиков'!A6:E57,5,0) * B7</f>
        <v>1.34</v>
      </c>
      <c r="H7" s="59">
        <f t="shared" si="3"/>
        <v>0.0007937916446</v>
      </c>
      <c r="I7" s="81"/>
    </row>
    <row r="8">
      <c r="A8" s="25" t="s">
        <v>120</v>
      </c>
      <c r="B8" s="120">
        <v>1.0</v>
      </c>
      <c r="C8" s="6">
        <v>0.0</v>
      </c>
      <c r="D8" s="4" t="s">
        <v>6</v>
      </c>
      <c r="E8" s="17">
        <f t="shared" si="1"/>
        <v>1</v>
      </c>
      <c r="F8" s="5">
        <f t="shared" si="2"/>
        <v>100</v>
      </c>
      <c r="G8" s="5">
        <f>VLOOKUP(A8,'Матрица поставщиков'!A7:E58,5,0) * B8</f>
        <v>1.340909091</v>
      </c>
      <c r="H8" s="59">
        <f t="shared" si="3"/>
        <v>0.0007943301735</v>
      </c>
      <c r="I8" s="81"/>
    </row>
    <row r="9">
      <c r="A9" s="4" t="s">
        <v>23</v>
      </c>
      <c r="B9" s="120">
        <v>1.0</v>
      </c>
      <c r="C9" s="6">
        <v>0.0</v>
      </c>
      <c r="D9" s="4" t="s">
        <v>6</v>
      </c>
      <c r="E9" s="32">
        <f t="shared" si="1"/>
        <v>1</v>
      </c>
      <c r="F9" s="5">
        <f t="shared" si="2"/>
        <v>100</v>
      </c>
      <c r="G9" s="5">
        <f>VLOOKUP(A9,'Матрица поставщиков'!A9:E60,5,0) * B9</f>
        <v>1.057</v>
      </c>
      <c r="H9" s="59">
        <f t="shared" si="3"/>
        <v>0.0006261475883</v>
      </c>
      <c r="I9" s="81"/>
    </row>
    <row r="10">
      <c r="A10" s="4" t="s">
        <v>17</v>
      </c>
      <c r="B10" s="120">
        <v>30.0</v>
      </c>
      <c r="C10" s="6">
        <v>0.0</v>
      </c>
      <c r="D10" s="4" t="s">
        <v>6</v>
      </c>
      <c r="E10" s="32">
        <f t="shared" si="1"/>
        <v>30</v>
      </c>
      <c r="F10" s="5">
        <f t="shared" si="2"/>
        <v>100</v>
      </c>
      <c r="G10" s="5">
        <f>VLOOKUP(A10,'Матрица поставщиков'!A10:E61,5,0) * B10</f>
        <v>1.26</v>
      </c>
      <c r="H10" s="59">
        <f t="shared" si="3"/>
        <v>0.0007464010987</v>
      </c>
      <c r="I10" s="52"/>
    </row>
    <row r="11">
      <c r="A11" s="44" t="s">
        <v>227</v>
      </c>
      <c r="B11" s="93">
        <f t="shared" ref="B11:C11" si="4">SUM(B3:B10)</f>
        <v>2038</v>
      </c>
      <c r="C11" s="93">
        <f t="shared" si="4"/>
        <v>1950</v>
      </c>
      <c r="D11" s="82" t="s">
        <v>275</v>
      </c>
      <c r="E11" s="32">
        <f t="shared" ref="E11:H11" si="5">SUM(E4:E10)</f>
        <v>88</v>
      </c>
      <c r="F11" s="136">
        <f t="shared" si="5"/>
        <v>602.5</v>
      </c>
      <c r="G11" s="60">
        <f t="shared" si="5"/>
        <v>1688.100409</v>
      </c>
      <c r="H11" s="137">
        <f t="shared" si="5"/>
        <v>1</v>
      </c>
      <c r="I11" s="144">
        <f>B11-E11</f>
        <v>1950</v>
      </c>
    </row>
    <row r="12">
      <c r="E12" s="42"/>
      <c r="F12" s="40"/>
      <c r="G12" s="42"/>
      <c r="H12" s="42"/>
    </row>
    <row r="13">
      <c r="A13" s="63" t="s">
        <v>238</v>
      </c>
    </row>
    <row r="14">
      <c r="A14" s="64" t="s">
        <v>426</v>
      </c>
      <c r="H14" s="138"/>
      <c r="I14" s="138"/>
      <c r="J14" s="138"/>
      <c r="K14" s="138"/>
      <c r="L14" s="138"/>
      <c r="M14" s="138"/>
      <c r="N14" s="138"/>
      <c r="O14" s="138"/>
      <c r="P14" s="138"/>
      <c r="Q14" s="138"/>
      <c r="R14" s="138"/>
      <c r="S14" s="138"/>
      <c r="T14" s="138"/>
      <c r="U14" s="138"/>
      <c r="V14" s="138"/>
      <c r="W14" s="138"/>
      <c r="X14" s="138"/>
      <c r="Y14" s="138"/>
    </row>
    <row r="15">
      <c r="E15" s="42"/>
      <c r="F15" s="40"/>
      <c r="G15" s="42"/>
      <c r="H15" s="42"/>
    </row>
    <row r="16">
      <c r="C16" s="66" t="s">
        <v>208</v>
      </c>
      <c r="D16" s="66" t="s">
        <v>240</v>
      </c>
      <c r="E16" s="42"/>
      <c r="F16" s="40"/>
      <c r="G16" s="42"/>
      <c r="H16" s="42"/>
    </row>
    <row r="17">
      <c r="C17" s="17">
        <v>165.0</v>
      </c>
      <c r="D17" s="131">
        <f>G11/I11*C17</f>
        <v>142.8392654</v>
      </c>
      <c r="E17" s="42"/>
      <c r="F17" s="40"/>
      <c r="G17" s="139"/>
      <c r="H17" s="139"/>
    </row>
    <row r="18">
      <c r="C18" s="17">
        <v>1000.0</v>
      </c>
      <c r="D18" s="140">
        <f>G11/I11*C18</f>
        <v>865.6925175</v>
      </c>
      <c r="E18" s="42"/>
      <c r="F18" s="40"/>
      <c r="G18" s="139"/>
      <c r="H18" s="139"/>
    </row>
    <row r="19">
      <c r="C19" s="15">
        <v>1.0</v>
      </c>
      <c r="D19" s="140">
        <f>G11/I11*C19</f>
        <v>0.8656925175</v>
      </c>
      <c r="E19" s="42"/>
      <c r="F19" s="40"/>
      <c r="G19" s="42"/>
      <c r="H19" s="42"/>
    </row>
    <row r="20">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sheetData>
  <autoFilter ref="$A$3:$H$10">
    <sortState ref="A3:H10">
      <sortCondition descending="1" ref="H3:H10"/>
    </sortState>
  </autoFilter>
  <mergeCells count="5">
    <mergeCell ref="A1:A2"/>
    <mergeCell ref="B1:I2"/>
    <mergeCell ref="I4:I10"/>
    <mergeCell ref="A13:I13"/>
    <mergeCell ref="A14:G14"/>
  </mergeCells>
  <conditionalFormatting sqref="H4:H10">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425</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row>
    <row r="4">
      <c r="A4" s="6" t="s">
        <v>427</v>
      </c>
      <c r="B4" s="6">
        <v>1950.0</v>
      </c>
      <c r="C4" s="17">
        <v>1170.0</v>
      </c>
      <c r="D4" s="4" t="s">
        <v>6</v>
      </c>
      <c r="E4" s="17">
        <f t="shared" ref="E4:E5" si="1">B4-C4</f>
        <v>780</v>
      </c>
      <c r="F4" s="5">
        <f t="shared" ref="F4:F5" si="2">E4/B4*100</f>
        <v>40</v>
      </c>
      <c r="G4" s="5">
        <f>'пф Фарш Primebeef Классик марин'!D19 * B4</f>
        <v>1688.100409</v>
      </c>
      <c r="H4" s="59">
        <f t="shared" ref="H4:H5" si="3">G4/$G$6</f>
        <v>0.9891191645</v>
      </c>
      <c r="I4" s="103"/>
    </row>
    <row r="5">
      <c r="A5" s="6" t="s">
        <v>163</v>
      </c>
      <c r="B5" s="120">
        <v>30.0</v>
      </c>
      <c r="C5" s="6">
        <v>0.0</v>
      </c>
      <c r="D5" s="4" t="s">
        <v>6</v>
      </c>
      <c r="E5" s="32">
        <f t="shared" si="1"/>
        <v>30</v>
      </c>
      <c r="F5" s="5">
        <f t="shared" si="2"/>
        <v>100</v>
      </c>
      <c r="G5" s="5">
        <f>VLOOKUP(A5,'Матрица поставщиков'!A11:E602,5,0) * B5</f>
        <v>18.57</v>
      </c>
      <c r="H5" s="59">
        <f t="shared" si="3"/>
        <v>0.01088083552</v>
      </c>
      <c r="I5" s="52"/>
    </row>
    <row r="6">
      <c r="A6" s="44" t="s">
        <v>227</v>
      </c>
      <c r="B6" s="93">
        <f t="shared" ref="B6:C6" si="4">SUM(B3:B5)</f>
        <v>1980</v>
      </c>
      <c r="C6" s="93">
        <f t="shared" si="4"/>
        <v>1170</v>
      </c>
      <c r="D6" s="82" t="s">
        <v>275</v>
      </c>
      <c r="E6" s="32">
        <f t="shared" ref="E6:H6" si="5">SUM(E4:E5)</f>
        <v>810</v>
      </c>
      <c r="F6" s="136">
        <f t="shared" si="5"/>
        <v>140</v>
      </c>
      <c r="G6" s="60">
        <f t="shared" si="5"/>
        <v>1706.670409</v>
      </c>
      <c r="H6" s="137">
        <f t="shared" si="5"/>
        <v>1</v>
      </c>
      <c r="I6" s="144">
        <f>B6-E6</f>
        <v>1170</v>
      </c>
    </row>
    <row r="7">
      <c r="E7" s="42"/>
      <c r="F7" s="40"/>
      <c r="G7" s="42"/>
      <c r="H7" s="42"/>
    </row>
    <row r="8">
      <c r="A8" s="63" t="s">
        <v>238</v>
      </c>
    </row>
    <row r="9">
      <c r="A9" s="64" t="s">
        <v>428</v>
      </c>
      <c r="H9" s="138"/>
      <c r="I9" s="138"/>
      <c r="J9" s="138"/>
      <c r="K9" s="138"/>
      <c r="L9" s="138"/>
      <c r="M9" s="138"/>
      <c r="N9" s="138"/>
      <c r="O9" s="138"/>
      <c r="P9" s="138"/>
      <c r="Q9" s="138"/>
      <c r="R9" s="138"/>
      <c r="S9" s="138"/>
      <c r="T9" s="138"/>
      <c r="U9" s="138"/>
      <c r="V9" s="138"/>
      <c r="W9" s="138"/>
      <c r="X9" s="138"/>
      <c r="Y9" s="138"/>
    </row>
    <row r="10">
      <c r="E10" s="42"/>
      <c r="F10" s="40"/>
      <c r="G10" s="42"/>
      <c r="H10" s="42"/>
    </row>
    <row r="11">
      <c r="C11" s="66" t="s">
        <v>208</v>
      </c>
      <c r="D11" s="66" t="s">
        <v>240</v>
      </c>
      <c r="E11" s="42"/>
      <c r="F11" s="40"/>
      <c r="G11" s="42"/>
      <c r="H11" s="42"/>
    </row>
    <row r="12">
      <c r="C12" s="17">
        <v>100.0</v>
      </c>
      <c r="D12" s="131">
        <f>G6/I6*C12</f>
        <v>145.8692657</v>
      </c>
      <c r="E12" s="42"/>
      <c r="F12" s="40"/>
      <c r="G12" s="139"/>
      <c r="H12" s="139"/>
    </row>
    <row r="13">
      <c r="C13" s="17">
        <v>1000.0</v>
      </c>
      <c r="D13" s="140">
        <f>G6/I6*C13</f>
        <v>1458.692657</v>
      </c>
      <c r="E13" s="42"/>
      <c r="F13" s="40"/>
      <c r="G13" s="139"/>
      <c r="H13" s="139"/>
    </row>
    <row r="14">
      <c r="C14" s="15">
        <v>1.0</v>
      </c>
      <c r="D14" s="60">
        <f>G6/I6*C14</f>
        <v>1.458692657</v>
      </c>
      <c r="E14" s="42"/>
      <c r="F14" s="40"/>
      <c r="G14" s="42"/>
      <c r="H14" s="42"/>
    </row>
    <row r="15">
      <c r="E15" s="42"/>
      <c r="F15" s="40"/>
      <c r="G15" s="42"/>
      <c r="H15" s="42"/>
    </row>
    <row r="16" ht="15.75" customHeight="1">
      <c r="E16" s="42"/>
      <c r="F16" s="40"/>
      <c r="G16" s="42"/>
      <c r="H16" s="42"/>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sheetData>
  <autoFilter ref="$A$3:$H$5">
    <sortState ref="A3:H5">
      <sortCondition descending="1" ref="H3:H5"/>
    </sortState>
  </autoFilter>
  <mergeCells count="5">
    <mergeCell ref="A1:A2"/>
    <mergeCell ref="B1:I2"/>
    <mergeCell ref="I4:I5"/>
    <mergeCell ref="A8:I8"/>
    <mergeCell ref="A9:G9"/>
  </mergeCells>
  <conditionalFormatting sqref="H4:H5">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429</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c r="K3" s="66" t="s">
        <v>208</v>
      </c>
      <c r="L3" s="66" t="s">
        <v>240</v>
      </c>
    </row>
    <row r="4">
      <c r="A4" s="6" t="s">
        <v>177</v>
      </c>
      <c r="B4" s="58">
        <v>1000.0</v>
      </c>
      <c r="C4" s="58">
        <v>800.0</v>
      </c>
      <c r="D4" s="6" t="s">
        <v>237</v>
      </c>
      <c r="E4" s="6">
        <f t="shared" ref="E4:E7" si="1">B4-C4</f>
        <v>200</v>
      </c>
      <c r="F4" s="5">
        <f t="shared" ref="F4:F7" si="2">E4/B4*100</f>
        <v>20</v>
      </c>
      <c r="G4" s="34">
        <f>VLOOKUP(A4,'Матрица поставщиков'!A1:E520,5,False) * B4</f>
        <v>254.4</v>
      </c>
      <c r="H4" s="59">
        <f>G4/G7</f>
        <v>0.9983445689</v>
      </c>
      <c r="I4" s="80"/>
      <c r="K4" s="17">
        <v>100.0</v>
      </c>
      <c r="L4" s="34">
        <f>G7/I7*K4</f>
        <v>31.85273</v>
      </c>
    </row>
    <row r="5">
      <c r="A5" s="11" t="s">
        <v>129</v>
      </c>
      <c r="B5" s="58">
        <v>0.1</v>
      </c>
      <c r="C5" s="58">
        <v>0.1</v>
      </c>
      <c r="D5" s="6" t="s">
        <v>237</v>
      </c>
      <c r="E5" s="6">
        <f t="shared" si="1"/>
        <v>0</v>
      </c>
      <c r="F5" s="5">
        <f t="shared" si="2"/>
        <v>0</v>
      </c>
      <c r="G5" s="34">
        <f>(VLOOKUP(A5,'Матрица поставщиков'!A1:E53,5,False) * B5)/10</f>
        <v>0.00184</v>
      </c>
      <c r="H5" s="59">
        <f>G5/G7</f>
        <v>0.000007220731159</v>
      </c>
      <c r="I5" s="81"/>
      <c r="K5" s="17">
        <v>1.0</v>
      </c>
      <c r="L5" s="34">
        <f>G7/I7*K5</f>
        <v>0.3185273</v>
      </c>
    </row>
    <row r="6">
      <c r="A6" s="11" t="s">
        <v>17</v>
      </c>
      <c r="B6" s="58">
        <v>10.0</v>
      </c>
      <c r="C6" s="58">
        <v>10.0</v>
      </c>
      <c r="D6" s="6" t="s">
        <v>237</v>
      </c>
      <c r="E6" s="6">
        <f t="shared" si="1"/>
        <v>0</v>
      </c>
      <c r="F6" s="5">
        <f t="shared" si="2"/>
        <v>0</v>
      </c>
      <c r="G6" s="34">
        <f>VLOOKUP(A6,'Матрица поставщиков'!A1:E57,5,False) * B6</f>
        <v>0.42</v>
      </c>
      <c r="H6" s="59">
        <f>G6/G7</f>
        <v>0.001648210373</v>
      </c>
      <c r="I6" s="52"/>
    </row>
    <row r="7">
      <c r="A7" s="44" t="s">
        <v>227</v>
      </c>
      <c r="B7" s="4">
        <f t="shared" ref="B7:C7" si="3">B4</f>
        <v>1000</v>
      </c>
      <c r="C7" s="4">
        <f t="shared" si="3"/>
        <v>800</v>
      </c>
      <c r="D7" s="82" t="s">
        <v>275</v>
      </c>
      <c r="E7" s="6">
        <f t="shared" si="1"/>
        <v>200</v>
      </c>
      <c r="F7" s="5">
        <f t="shared" si="2"/>
        <v>20</v>
      </c>
      <c r="G7" s="60">
        <f t="shared" ref="G7:H7" si="4">SUM(G4:G6)</f>
        <v>254.82184</v>
      </c>
      <c r="H7" s="61">
        <f t="shared" si="4"/>
        <v>1</v>
      </c>
      <c r="I7" s="62">
        <f>B7-E7</f>
        <v>800</v>
      </c>
    </row>
    <row r="9">
      <c r="A9" s="63" t="s">
        <v>238</v>
      </c>
    </row>
    <row r="10">
      <c r="A10" s="64" t="s">
        <v>430</v>
      </c>
      <c r="H10" s="65"/>
      <c r="I10" s="65"/>
    </row>
    <row r="33">
      <c r="H33" s="91"/>
    </row>
  </sheetData>
  <mergeCells count="5">
    <mergeCell ref="A1:A2"/>
    <mergeCell ref="B1:I2"/>
    <mergeCell ref="I4:I6"/>
    <mergeCell ref="A9:I9"/>
    <mergeCell ref="A10:G10"/>
  </mergeCells>
  <conditionalFormatting sqref="H4:H6">
    <cfRule type="colorScale" priority="1">
      <colorScale>
        <cfvo type="min"/>
        <cfvo type="max"/>
        <color rgb="FFFFFFFF"/>
        <color rgb="FFE67C73"/>
      </colorScale>
    </cfRule>
  </conditionalFormatting>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57.57"/>
  </cols>
  <sheetData>
    <row r="1">
      <c r="A1" s="48" t="s">
        <v>228</v>
      </c>
      <c r="B1" s="49" t="s">
        <v>429</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c r="K3" s="66" t="s">
        <v>208</v>
      </c>
      <c r="L3" s="66" t="s">
        <v>240</v>
      </c>
    </row>
    <row r="4">
      <c r="A4" s="6" t="s">
        <v>164</v>
      </c>
      <c r="B4" s="58">
        <v>1000.0</v>
      </c>
      <c r="C4" s="58">
        <v>665.0</v>
      </c>
      <c r="D4" s="6" t="s">
        <v>237</v>
      </c>
      <c r="E4" s="6">
        <f t="shared" ref="E4:E7" si="1">B4-C4</f>
        <v>335</v>
      </c>
      <c r="F4" s="5">
        <f t="shared" ref="F4:F7" si="2">E4/B4*100</f>
        <v>33.5</v>
      </c>
      <c r="G4" s="34">
        <f>VLOOKUP(A4,'Матрица поставщиков'!A1:E520,5,False) * B4</f>
        <v>199.6</v>
      </c>
      <c r="H4" s="59">
        <f>G4/G7</f>
        <v>0.9978910303</v>
      </c>
      <c r="I4" s="80"/>
      <c r="K4" s="17">
        <v>100.0</v>
      </c>
      <c r="L4" s="34">
        <f>G7/I7*K4</f>
        <v>30.07847218</v>
      </c>
    </row>
    <row r="5">
      <c r="A5" s="11" t="s">
        <v>129</v>
      </c>
      <c r="B5" s="58">
        <v>0.1</v>
      </c>
      <c r="C5" s="58">
        <v>0.1</v>
      </c>
      <c r="D5" s="6" t="s">
        <v>237</v>
      </c>
      <c r="E5" s="6">
        <f t="shared" si="1"/>
        <v>0</v>
      </c>
      <c r="F5" s="5">
        <f t="shared" si="2"/>
        <v>0</v>
      </c>
      <c r="G5" s="34">
        <f>(VLOOKUP(A5,'Матрица поставщиков'!A1:E53,5,False) * B5)/10</f>
        <v>0.00184</v>
      </c>
      <c r="H5" s="59">
        <f>G5/G7</f>
        <v>0.00000919899547</v>
      </c>
      <c r="I5" s="81"/>
      <c r="K5" s="17">
        <v>1.0</v>
      </c>
      <c r="L5" s="34">
        <f>G7/I7*K5</f>
        <v>0.3007847218</v>
      </c>
    </row>
    <row r="6">
      <c r="A6" s="11" t="s">
        <v>17</v>
      </c>
      <c r="B6" s="58">
        <v>10.0</v>
      </c>
      <c r="C6" s="58">
        <v>10.0</v>
      </c>
      <c r="D6" s="6" t="s">
        <v>237</v>
      </c>
      <c r="E6" s="6">
        <f t="shared" si="1"/>
        <v>0</v>
      </c>
      <c r="F6" s="5">
        <f t="shared" si="2"/>
        <v>0</v>
      </c>
      <c r="G6" s="34">
        <f>VLOOKUP(A6,'Матрица поставщиков'!A1:E57,5,False) * B6</f>
        <v>0.42</v>
      </c>
      <c r="H6" s="59">
        <f>G6/G7</f>
        <v>0.002099770705</v>
      </c>
      <c r="I6" s="52"/>
    </row>
    <row r="7">
      <c r="A7" s="44" t="s">
        <v>227</v>
      </c>
      <c r="B7" s="4">
        <f t="shared" ref="B7:C7" si="3">B4</f>
        <v>1000</v>
      </c>
      <c r="C7" s="4">
        <f t="shared" si="3"/>
        <v>665</v>
      </c>
      <c r="D7" s="82" t="s">
        <v>275</v>
      </c>
      <c r="E7" s="6">
        <f t="shared" si="1"/>
        <v>335</v>
      </c>
      <c r="F7" s="5">
        <f t="shared" si="2"/>
        <v>33.5</v>
      </c>
      <c r="G7" s="60">
        <f t="shared" ref="G7:H7" si="4">SUM(G4:G6)</f>
        <v>200.02184</v>
      </c>
      <c r="H7" s="61">
        <f t="shared" si="4"/>
        <v>1</v>
      </c>
      <c r="I7" s="62">
        <f>B7-E7</f>
        <v>665</v>
      </c>
    </row>
    <row r="9">
      <c r="A9" s="63" t="s">
        <v>238</v>
      </c>
    </row>
    <row r="10">
      <c r="A10" s="64" t="s">
        <v>431</v>
      </c>
      <c r="H10" s="65"/>
      <c r="I10" s="65"/>
    </row>
    <row r="33">
      <c r="H33" s="91"/>
    </row>
  </sheetData>
  <mergeCells count="5">
    <mergeCell ref="A1:A2"/>
    <mergeCell ref="B1:I2"/>
    <mergeCell ref="I4:I6"/>
    <mergeCell ref="A9:I9"/>
    <mergeCell ref="A10:G10"/>
  </mergeCells>
  <conditionalFormatting sqref="H4:H6">
    <cfRule type="colorScale" priority="1">
      <colorScale>
        <cfvo type="min"/>
        <cfvo type="max"/>
        <color rgb="FFFFFFFF"/>
        <color rgb="FFE67C73"/>
      </colorScale>
    </cfRule>
  </conditionalFormatting>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24.86"/>
    <col customWidth="1" min="2" max="2" width="7.86"/>
    <col customWidth="1" min="3" max="3" width="10.43"/>
    <col customWidth="1" min="4" max="4" width="8.14"/>
    <col customWidth="1" min="5" max="5" width="14.29"/>
    <col customWidth="1" min="6" max="6" width="9.71"/>
    <col customWidth="1" min="7" max="7" width="11.0"/>
    <col customWidth="1" min="8" max="8" width="7.43"/>
    <col customWidth="1" min="9" max="9" width="12.14"/>
    <col customWidth="1" min="10" max="10" width="8.71"/>
    <col customWidth="1" min="11" max="11" width="6.57"/>
    <col customWidth="1" min="12" max="12" width="9.0"/>
    <col customWidth="1" min="13" max="29" width="8.71"/>
  </cols>
  <sheetData>
    <row r="1">
      <c r="A1" s="101" t="s">
        <v>228</v>
      </c>
      <c r="B1" s="49" t="s">
        <v>341</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232</v>
      </c>
      <c r="F3" s="57" t="s">
        <v>233</v>
      </c>
      <c r="G3" s="57" t="s">
        <v>234</v>
      </c>
      <c r="H3" s="57" t="s">
        <v>235</v>
      </c>
      <c r="I3" s="57" t="s">
        <v>236</v>
      </c>
    </row>
    <row r="4">
      <c r="A4" s="11" t="s">
        <v>13</v>
      </c>
      <c r="B4" s="58">
        <v>300.0</v>
      </c>
      <c r="C4" s="58">
        <f>B4</f>
        <v>300</v>
      </c>
      <c r="D4" s="141" t="s">
        <v>6</v>
      </c>
      <c r="E4" s="90">
        <f t="shared" ref="E4:E11" si="1">B4-C4</f>
        <v>0</v>
      </c>
      <c r="F4" s="146">
        <f t="shared" ref="F4:F11" si="2">E4/B4*100</f>
        <v>0</v>
      </c>
      <c r="G4" s="147">
        <f>VLOOKUP(A4,'Матрица поставщиков'!A2:E53,5,False) * B4</f>
        <v>36.54</v>
      </c>
      <c r="H4" s="148">
        <f>G4/G11</f>
        <v>0.1010452962</v>
      </c>
      <c r="I4" s="141"/>
      <c r="J4" s="149"/>
      <c r="K4" s="149"/>
      <c r="L4" s="149"/>
      <c r="M4" s="149"/>
      <c r="N4" s="149"/>
      <c r="O4" s="149"/>
      <c r="P4" s="149"/>
      <c r="Q4" s="149"/>
      <c r="R4" s="149"/>
      <c r="S4" s="149"/>
      <c r="T4" s="149"/>
      <c r="U4" s="149"/>
      <c r="V4" s="149"/>
      <c r="W4" s="149"/>
      <c r="X4" s="149"/>
      <c r="Y4" s="149"/>
      <c r="Z4" s="149"/>
      <c r="AA4" s="149"/>
      <c r="AB4" s="149"/>
      <c r="AC4" s="149"/>
    </row>
    <row r="5">
      <c r="A5" s="4" t="s">
        <v>21</v>
      </c>
      <c r="B5" s="6">
        <v>2400.0</v>
      </c>
      <c r="C5" s="6">
        <v>200.0</v>
      </c>
      <c r="D5" s="4" t="s">
        <v>6</v>
      </c>
      <c r="E5" s="6">
        <f t="shared" si="1"/>
        <v>2200</v>
      </c>
      <c r="F5" s="5">
        <f t="shared" si="2"/>
        <v>91.66666667</v>
      </c>
      <c r="G5" s="34">
        <f>VLOOKUP(A5,'Матрица поставщиков'!A1:E53,5,False) * B5</f>
        <v>247.2</v>
      </c>
      <c r="H5" s="59">
        <f>G5/G11</f>
        <v>0.6835905094</v>
      </c>
      <c r="I5" s="103"/>
    </row>
    <row r="6">
      <c r="A6" s="6" t="s">
        <v>19</v>
      </c>
      <c r="B6" s="6">
        <v>70.0</v>
      </c>
      <c r="C6" s="4">
        <f>B6</f>
        <v>70</v>
      </c>
      <c r="D6" s="4" t="s">
        <v>6</v>
      </c>
      <c r="E6" s="6">
        <f t="shared" si="1"/>
        <v>0</v>
      </c>
      <c r="F6" s="5">
        <f t="shared" si="2"/>
        <v>0</v>
      </c>
      <c r="G6" s="34">
        <f>VLOOKUP(A6,'Матрица поставщиков'!A1:E57,5,False) * B6</f>
        <v>57.96</v>
      </c>
      <c r="H6" s="59">
        <f>G6/G11</f>
        <v>0.1602787456</v>
      </c>
      <c r="I6" s="103"/>
    </row>
    <row r="7">
      <c r="A7" s="4" t="s">
        <v>15</v>
      </c>
      <c r="B7" s="6">
        <v>240.0</v>
      </c>
      <c r="C7" s="6">
        <v>50.0</v>
      </c>
      <c r="D7" s="4" t="s">
        <v>6</v>
      </c>
      <c r="E7" s="6">
        <f t="shared" si="1"/>
        <v>190</v>
      </c>
      <c r="F7" s="5">
        <f t="shared" si="2"/>
        <v>79.16666667</v>
      </c>
      <c r="G7" s="34">
        <f>VLOOKUP(A7,'Матрица поставщиков'!A1:E56,5,False) * B7</f>
        <v>16.56</v>
      </c>
      <c r="H7" s="59">
        <f>G7/G11</f>
        <v>0.04579392733</v>
      </c>
      <c r="I7" s="103"/>
    </row>
    <row r="8">
      <c r="A8" s="4" t="s">
        <v>17</v>
      </c>
      <c r="B8" s="6">
        <v>80.0</v>
      </c>
      <c r="C8" s="6">
        <v>10.0</v>
      </c>
      <c r="D8" s="4" t="s">
        <v>6</v>
      </c>
      <c r="E8" s="6">
        <f t="shared" si="1"/>
        <v>70</v>
      </c>
      <c r="F8" s="5">
        <f t="shared" si="2"/>
        <v>87.5</v>
      </c>
      <c r="G8" s="34">
        <f>VLOOKUP(A8,'Матрица поставщиков'!A1:E55,5,False) * B8</f>
        <v>3.36</v>
      </c>
      <c r="H8" s="59">
        <f>G8/G11</f>
        <v>0.009291521487</v>
      </c>
      <c r="I8" s="103"/>
      <c r="K8" s="66" t="s">
        <v>208</v>
      </c>
      <c r="L8" s="66" t="s">
        <v>240</v>
      </c>
      <c r="M8" s="6" t="s">
        <v>204</v>
      </c>
      <c r="N8" s="6" t="s">
        <v>354</v>
      </c>
    </row>
    <row r="9">
      <c r="A9" s="6" t="s">
        <v>393</v>
      </c>
      <c r="B9" s="6">
        <v>7500.0</v>
      </c>
      <c r="C9" s="6">
        <v>3310.0</v>
      </c>
      <c r="D9" s="4" t="s">
        <v>12</v>
      </c>
      <c r="E9" s="6">
        <f t="shared" si="1"/>
        <v>4190</v>
      </c>
      <c r="F9" s="5">
        <f t="shared" si="2"/>
        <v>55.86666667</v>
      </c>
      <c r="G9" s="34">
        <f>VLOOKUP(A9,'Матрица поставщиков'!A2:E56,5,False) * B9</f>
        <v>0</v>
      </c>
      <c r="H9" s="59">
        <f>G9/G11</f>
        <v>0</v>
      </c>
      <c r="I9" s="126"/>
      <c r="K9" s="17">
        <v>50.0</v>
      </c>
      <c r="L9" s="34">
        <f>G11/I11*K9</f>
        <v>1.8081</v>
      </c>
      <c r="M9" s="6">
        <v>50.0</v>
      </c>
      <c r="N9" s="59">
        <f>L9/M9</f>
        <v>0.036162</v>
      </c>
    </row>
    <row r="10">
      <c r="A10" s="6" t="s">
        <v>120</v>
      </c>
      <c r="B10" s="6">
        <v>4.0</v>
      </c>
      <c r="C10" s="6">
        <v>0.0</v>
      </c>
      <c r="D10" s="6" t="s">
        <v>6</v>
      </c>
      <c r="E10" s="6">
        <f t="shared" si="1"/>
        <v>4</v>
      </c>
      <c r="F10" s="5">
        <f t="shared" si="2"/>
        <v>100</v>
      </c>
      <c r="G10" s="34">
        <f>VLOOKUP(A10,'Матрица поставщиков'!A3:E57,5,False) * B10</f>
        <v>5.363636364</v>
      </c>
      <c r="H10" s="59">
        <f>G10/G11</f>
        <v>0.0148322448</v>
      </c>
      <c r="I10" s="126"/>
      <c r="K10" s="17"/>
      <c r="L10" s="34"/>
      <c r="M10" s="6"/>
      <c r="N10" s="59"/>
    </row>
    <row r="11">
      <c r="A11" s="44" t="s">
        <v>227</v>
      </c>
      <c r="B11" s="4">
        <f t="shared" ref="B11:C11" si="3">SUM(B4:B10)</f>
        <v>10594</v>
      </c>
      <c r="C11" s="6">
        <f t="shared" si="3"/>
        <v>3940</v>
      </c>
      <c r="D11" s="82" t="s">
        <v>275</v>
      </c>
      <c r="E11" s="6">
        <f t="shared" si="1"/>
        <v>6654</v>
      </c>
      <c r="F11" s="5">
        <f t="shared" si="2"/>
        <v>62.80913725</v>
      </c>
      <c r="G11" s="60">
        <f t="shared" ref="G11:H11" si="4">SUM(G4:G9)</f>
        <v>361.62</v>
      </c>
      <c r="H11" s="61">
        <f t="shared" si="4"/>
        <v>1</v>
      </c>
      <c r="I11" s="130">
        <v>10000.0</v>
      </c>
      <c r="K11" s="17">
        <v>1.0</v>
      </c>
      <c r="L11" s="34">
        <f>G11/I11*K11</f>
        <v>0.036162</v>
      </c>
      <c r="M11" s="6">
        <v>1.0</v>
      </c>
      <c r="N11" s="59">
        <f>L11/M11</f>
        <v>0.036162</v>
      </c>
    </row>
    <row r="13">
      <c r="A13" s="63" t="s">
        <v>238</v>
      </c>
    </row>
    <row r="14">
      <c r="A14" s="150" t="s">
        <v>432</v>
      </c>
      <c r="G14" s="65"/>
      <c r="H14" s="65"/>
      <c r="I14" s="65"/>
      <c r="J14" s="65"/>
      <c r="K14" s="65"/>
      <c r="L14" s="65"/>
      <c r="M14" s="65"/>
      <c r="N14" s="65"/>
      <c r="O14" s="65"/>
      <c r="P14" s="65"/>
      <c r="Q14" s="65"/>
      <c r="R14" s="65"/>
      <c r="S14" s="65"/>
    </row>
    <row r="15">
      <c r="A15" s="70"/>
    </row>
    <row r="16">
      <c r="A16" s="70"/>
    </row>
    <row r="17">
      <c r="A17" s="70"/>
    </row>
    <row r="18">
      <c r="A18" s="70"/>
    </row>
    <row r="19">
      <c r="A19" s="70"/>
    </row>
    <row r="20">
      <c r="A20" s="7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A$3:$H$10">
    <sortState ref="A3:H10">
      <sortCondition descending="1" ref="H3:H10"/>
    </sortState>
  </autoFilter>
  <mergeCells count="4">
    <mergeCell ref="A1:A2"/>
    <mergeCell ref="B1:I2"/>
    <mergeCell ref="A13:I13"/>
    <mergeCell ref="A14:F14"/>
  </mergeCells>
  <conditionalFormatting sqref="H4:H10">
    <cfRule type="colorScale" priority="1">
      <colorScale>
        <cfvo type="min"/>
        <cfvo type="max"/>
        <color rgb="FFFFFFFF"/>
        <color rgb="FFE67C73"/>
      </colorScale>
    </cfRule>
  </conditionalFormatting>
  <dataValidations>
    <dataValidation type="list" allowBlank="1" showErrorMessage="1" sqref="A4:A10">
      <formula1>'Матрица поставщиков'!$A$2:$A$100</formula1>
    </dataValidation>
  </dataValidations>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94.0"/>
    <col customWidth="1" min="2" max="2" width="23.57"/>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433</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26" t="s">
        <v>434</v>
      </c>
      <c r="B4" s="151">
        <v>1000.0</v>
      </c>
      <c r="C4" s="151">
        <v>800.0</v>
      </c>
      <c r="D4" s="4" t="s">
        <v>6</v>
      </c>
      <c r="E4" s="17">
        <f t="shared" ref="E4:E16" si="1">B4-C4</f>
        <v>200</v>
      </c>
      <c r="F4" s="5">
        <f t="shared" ref="F4:F16" si="2">E4/B4*100</f>
        <v>20</v>
      </c>
      <c r="G4" s="5" t="str">
        <f>VLOOKUP(A4,'Матрица поставщиков'!A1:E53,5,0) * B4</f>
        <v>#N/A</v>
      </c>
      <c r="H4" s="59" t="str">
        <f t="shared" ref="H4:H16" si="3">G4/$G$17</f>
        <v>#N/A</v>
      </c>
      <c r="I4" s="103"/>
      <c r="K4" s="17">
        <v>100.0</v>
      </c>
      <c r="L4" s="131" t="str">
        <f>G17/I17*K4</f>
        <v>#N/A</v>
      </c>
    </row>
    <row r="5">
      <c r="A5" s="26" t="s">
        <v>435</v>
      </c>
      <c r="B5" s="151">
        <v>170.0</v>
      </c>
      <c r="C5" s="151">
        <v>140.0</v>
      </c>
      <c r="D5" s="4" t="s">
        <v>6</v>
      </c>
      <c r="E5" s="17">
        <f t="shared" si="1"/>
        <v>30</v>
      </c>
      <c r="F5" s="5">
        <f t="shared" si="2"/>
        <v>17.64705882</v>
      </c>
      <c r="G5" s="5" t="str">
        <f>VLOOKUP(A5,'Матрица поставщиков'!A1:E52,5,0) * B5</f>
        <v>#N/A</v>
      </c>
      <c r="H5" s="59" t="str">
        <f t="shared" si="3"/>
        <v>#N/A</v>
      </c>
      <c r="I5" s="81"/>
      <c r="K5" s="17">
        <v>1000.0</v>
      </c>
      <c r="L5" s="131" t="str">
        <f>G17/I17*K5</f>
        <v>#N/A</v>
      </c>
    </row>
    <row r="6">
      <c r="A6" s="152" t="s">
        <v>22</v>
      </c>
      <c r="B6" s="151">
        <v>17.0</v>
      </c>
      <c r="C6" s="151">
        <v>15.0</v>
      </c>
      <c r="D6" s="4" t="s">
        <v>12</v>
      </c>
      <c r="E6" s="17">
        <f t="shared" si="1"/>
        <v>2</v>
      </c>
      <c r="F6" s="5">
        <f t="shared" si="2"/>
        <v>11.76470588</v>
      </c>
      <c r="G6" s="5">
        <f>VLOOKUP(A6,'Матрица поставщиков'!A1:E55,5,0) * B6</f>
        <v>3.672</v>
      </c>
      <c r="H6" s="59" t="str">
        <f t="shared" si="3"/>
        <v>#N/A</v>
      </c>
      <c r="I6" s="81"/>
    </row>
    <row r="7">
      <c r="A7" s="26" t="s">
        <v>116</v>
      </c>
      <c r="B7" s="151">
        <v>70.0</v>
      </c>
      <c r="C7" s="151">
        <v>50.0</v>
      </c>
      <c r="D7" s="4" t="s">
        <v>12</v>
      </c>
      <c r="E7" s="17">
        <f t="shared" si="1"/>
        <v>20</v>
      </c>
      <c r="F7" s="5">
        <f t="shared" si="2"/>
        <v>28.57142857</v>
      </c>
      <c r="G7" s="5">
        <f>VLOOKUP(A7,'Матрица поставщиков'!A1:E57,5,False) * B7</f>
        <v>20.23</v>
      </c>
      <c r="H7" s="59" t="str">
        <f t="shared" si="3"/>
        <v>#N/A</v>
      </c>
      <c r="I7" s="81"/>
    </row>
    <row r="8">
      <c r="A8" s="4" t="s">
        <v>14</v>
      </c>
      <c r="B8" s="151">
        <v>50.0</v>
      </c>
      <c r="C8" s="151">
        <v>50.0</v>
      </c>
      <c r="D8" s="4" t="s">
        <v>6</v>
      </c>
      <c r="E8" s="32">
        <f t="shared" si="1"/>
        <v>0</v>
      </c>
      <c r="F8" s="5">
        <f t="shared" si="2"/>
        <v>0</v>
      </c>
      <c r="G8" s="5" t="str">
        <f>VLOOKUP(A8,'Матрица поставщиков'!A1:E59,5,False) * B8</f>
        <v>#N/A</v>
      </c>
      <c r="H8" s="59" t="str">
        <f t="shared" si="3"/>
        <v>#N/A</v>
      </c>
      <c r="I8" s="81"/>
    </row>
    <row r="9">
      <c r="A9" s="152" t="s">
        <v>121</v>
      </c>
      <c r="B9" s="151">
        <v>25.0</v>
      </c>
      <c r="C9" s="151">
        <v>20.0</v>
      </c>
      <c r="D9" s="4" t="s">
        <v>12</v>
      </c>
      <c r="E9" s="17">
        <f t="shared" si="1"/>
        <v>5</v>
      </c>
      <c r="F9" s="5">
        <f t="shared" si="2"/>
        <v>20</v>
      </c>
      <c r="G9" s="5">
        <f>VLOOKUP(A9,'Матрица поставщиков'!A1:E60,5,False) * B9</f>
        <v>7.1</v>
      </c>
      <c r="H9" s="59" t="str">
        <f t="shared" si="3"/>
        <v>#N/A</v>
      </c>
      <c r="I9" s="81"/>
    </row>
    <row r="10">
      <c r="A10" s="152" t="s">
        <v>21</v>
      </c>
      <c r="B10" s="151">
        <v>12.0</v>
      </c>
      <c r="C10" s="151">
        <v>10.0</v>
      </c>
      <c r="D10" s="4" t="s">
        <v>6</v>
      </c>
      <c r="E10" s="17">
        <f t="shared" si="1"/>
        <v>2</v>
      </c>
      <c r="F10" s="5">
        <f t="shared" si="2"/>
        <v>16.66666667</v>
      </c>
      <c r="G10" s="5">
        <f>VLOOKUP(A10,'Матрица поставщиков'!A1:E53,5,0) * B10</f>
        <v>1.236</v>
      </c>
      <c r="H10" s="59" t="str">
        <f t="shared" si="3"/>
        <v>#N/A</v>
      </c>
      <c r="I10" s="81"/>
    </row>
    <row r="11">
      <c r="A11" s="152" t="s">
        <v>17</v>
      </c>
      <c r="B11" s="151">
        <v>20.0</v>
      </c>
      <c r="C11" s="151">
        <v>20.0</v>
      </c>
      <c r="D11" s="4" t="s">
        <v>6</v>
      </c>
      <c r="E11" s="32">
        <f t="shared" si="1"/>
        <v>0</v>
      </c>
      <c r="F11" s="5">
        <f t="shared" si="2"/>
        <v>0</v>
      </c>
      <c r="G11" s="5">
        <f>VLOOKUP(A11,'Матрица поставщиков'!A1:E57,5,False) * B11</f>
        <v>0.84</v>
      </c>
      <c r="H11" s="59" t="str">
        <f t="shared" si="3"/>
        <v>#N/A</v>
      </c>
      <c r="I11" s="81"/>
    </row>
    <row r="12">
      <c r="A12" s="152" t="s">
        <v>23</v>
      </c>
      <c r="B12" s="151">
        <v>2.0</v>
      </c>
      <c r="C12" s="151">
        <v>2.0</v>
      </c>
      <c r="D12" s="4" t="s">
        <v>6</v>
      </c>
      <c r="E12" s="32">
        <f t="shared" si="1"/>
        <v>0</v>
      </c>
      <c r="F12" s="5">
        <f t="shared" si="2"/>
        <v>0</v>
      </c>
      <c r="G12" s="5">
        <f>VLOOKUP(A12,'Матрица поставщиков'!A1:E60,5,False) * B12</f>
        <v>2.114</v>
      </c>
      <c r="H12" s="59" t="str">
        <f t="shared" si="3"/>
        <v>#N/A</v>
      </c>
      <c r="I12" s="81"/>
    </row>
    <row r="13">
      <c r="A13" s="152" t="s">
        <v>119</v>
      </c>
      <c r="B13" s="151">
        <v>3.0</v>
      </c>
      <c r="C13" s="151">
        <v>3.0</v>
      </c>
      <c r="D13" s="4" t="s">
        <v>6</v>
      </c>
      <c r="E13" s="32">
        <f t="shared" si="1"/>
        <v>0</v>
      </c>
      <c r="F13" s="5">
        <f t="shared" si="2"/>
        <v>0</v>
      </c>
      <c r="G13" s="5">
        <f>VLOOKUP(A13,'Матрица поставщиков'!A1:E61,5,False) * B13</f>
        <v>2.01</v>
      </c>
      <c r="H13" s="59" t="str">
        <f t="shared" si="3"/>
        <v>#N/A</v>
      </c>
      <c r="I13" s="81"/>
    </row>
    <row r="14">
      <c r="A14" s="152" t="s">
        <v>126</v>
      </c>
      <c r="B14" s="151">
        <v>2.0</v>
      </c>
      <c r="C14" s="151">
        <v>2.0</v>
      </c>
      <c r="D14" s="4" t="s">
        <v>12</v>
      </c>
      <c r="E14" s="32">
        <f t="shared" si="1"/>
        <v>0</v>
      </c>
      <c r="F14" s="5">
        <f t="shared" si="2"/>
        <v>0</v>
      </c>
      <c r="G14" s="5">
        <f>VLOOKUP(A14,'Матрица поставщиков'!A1:E62,5,False) * B14</f>
        <v>1.806666667</v>
      </c>
      <c r="H14" s="59" t="str">
        <f t="shared" si="3"/>
        <v>#N/A</v>
      </c>
      <c r="I14" s="81"/>
    </row>
    <row r="15">
      <c r="A15" s="152" t="s">
        <v>123</v>
      </c>
      <c r="B15" s="151">
        <v>2.0</v>
      </c>
      <c r="C15" s="151">
        <v>2.0</v>
      </c>
      <c r="D15" s="82"/>
      <c r="E15" s="32">
        <f t="shared" si="1"/>
        <v>0</v>
      </c>
      <c r="F15" s="5">
        <f t="shared" si="2"/>
        <v>0</v>
      </c>
      <c r="G15" s="5">
        <f>VLOOKUP(A15,'Матрица поставщиков'!A1:E62,5,False) * B15</f>
        <v>2.3</v>
      </c>
      <c r="H15" s="59" t="str">
        <f t="shared" si="3"/>
        <v>#N/A</v>
      </c>
      <c r="I15" s="81"/>
    </row>
    <row r="16">
      <c r="A16" s="152" t="s">
        <v>124</v>
      </c>
      <c r="B16" s="151">
        <v>1.0</v>
      </c>
      <c r="C16" s="151">
        <v>1.0</v>
      </c>
      <c r="D16" s="82"/>
      <c r="E16" s="32">
        <f t="shared" si="1"/>
        <v>0</v>
      </c>
      <c r="F16" s="5">
        <f t="shared" si="2"/>
        <v>0</v>
      </c>
      <c r="G16" s="5">
        <f>VLOOKUP(A16,'Матрица поставщиков'!A1:E64,5,False) * B16</f>
        <v>0.68</v>
      </c>
      <c r="H16" s="59" t="str">
        <f t="shared" si="3"/>
        <v>#N/A</v>
      </c>
      <c r="I16" s="52"/>
    </row>
    <row r="17">
      <c r="A17" s="44" t="s">
        <v>227</v>
      </c>
      <c r="B17" s="153">
        <f t="shared" ref="B17:C17" si="4">SUM(B3:B16)</f>
        <v>1374</v>
      </c>
      <c r="C17" s="153">
        <f t="shared" si="4"/>
        <v>1115</v>
      </c>
      <c r="D17" s="154" t="s">
        <v>275</v>
      </c>
      <c r="E17" s="155">
        <f t="shared" ref="E17:H17" si="5">SUM(E3:E16)</f>
        <v>259</v>
      </c>
      <c r="F17" s="156">
        <f t="shared" si="5"/>
        <v>114.6498599</v>
      </c>
      <c r="G17" s="157" t="str">
        <f t="shared" si="5"/>
        <v>#N/A</v>
      </c>
      <c r="H17" s="158" t="str">
        <f t="shared" si="5"/>
        <v>#N/A</v>
      </c>
      <c r="I17" s="159">
        <f>B17-E17</f>
        <v>1115</v>
      </c>
    </row>
    <row r="18">
      <c r="E18" s="42"/>
      <c r="F18" s="40"/>
      <c r="G18" s="42"/>
      <c r="H18" s="42"/>
    </row>
    <row r="19">
      <c r="A19" s="63" t="s">
        <v>238</v>
      </c>
    </row>
    <row r="20">
      <c r="A20" s="64" t="s">
        <v>436</v>
      </c>
      <c r="H20" s="138"/>
      <c r="I20" s="138"/>
      <c r="J20" s="138"/>
      <c r="K20" s="138"/>
      <c r="L20" s="138"/>
      <c r="M20" s="138"/>
      <c r="N20" s="138"/>
      <c r="O20" s="138"/>
      <c r="P20" s="138"/>
      <c r="Q20" s="138"/>
      <c r="R20" s="138"/>
      <c r="S20" s="138"/>
      <c r="T20" s="138"/>
      <c r="U20" s="138"/>
      <c r="V20" s="138"/>
      <c r="W20" s="138"/>
      <c r="X20" s="138"/>
      <c r="Y20" s="138"/>
    </row>
    <row r="21">
      <c r="E21" s="42"/>
      <c r="F21" s="40"/>
      <c r="G21" s="42"/>
      <c r="H21" s="42"/>
    </row>
    <row r="22">
      <c r="E22" s="42"/>
      <c r="F22" s="40"/>
      <c r="G22" s="42"/>
      <c r="H22" s="42"/>
    </row>
    <row r="23">
      <c r="E23" s="42"/>
      <c r="F23" s="40"/>
      <c r="G23" s="42"/>
      <c r="H23" s="42"/>
    </row>
    <row r="24">
      <c r="E24" s="42"/>
      <c r="F24" s="40"/>
      <c r="G24" s="42"/>
      <c r="H24" s="42"/>
    </row>
    <row r="25">
      <c r="E25" s="42"/>
      <c r="F25" s="40"/>
      <c r="G25" s="42"/>
      <c r="H25" s="42"/>
    </row>
    <row r="26">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row r="1001" ht="15.75" customHeight="1">
      <c r="E1001" s="42"/>
      <c r="F1001" s="40"/>
      <c r="G1001" s="42"/>
      <c r="H1001" s="42"/>
    </row>
    <row r="1002" ht="15.75" customHeight="1">
      <c r="E1002" s="42"/>
      <c r="F1002" s="40"/>
      <c r="G1002" s="42"/>
      <c r="H1002" s="42"/>
    </row>
    <row r="1003" ht="15.75" customHeight="1">
      <c r="E1003" s="42"/>
      <c r="F1003" s="40"/>
      <c r="G1003" s="42"/>
      <c r="H1003" s="42"/>
    </row>
    <row r="1004" ht="15.75" customHeight="1">
      <c r="E1004" s="42"/>
      <c r="F1004" s="40"/>
      <c r="G1004" s="42"/>
      <c r="H1004" s="42"/>
    </row>
    <row r="1005" ht="15.75" customHeight="1">
      <c r="E1005" s="42"/>
      <c r="F1005" s="40"/>
      <c r="G1005" s="42"/>
      <c r="H1005" s="42"/>
    </row>
    <row r="1006" ht="15.75" customHeight="1">
      <c r="E1006" s="42"/>
      <c r="F1006" s="40"/>
      <c r="G1006" s="42"/>
      <c r="H1006" s="42"/>
    </row>
  </sheetData>
  <autoFilter ref="$A$3:$H$16">
    <sortState ref="A3:H16">
      <sortCondition descending="1" ref="H3:H16"/>
    </sortState>
  </autoFilter>
  <mergeCells count="5">
    <mergeCell ref="A1:A2"/>
    <mergeCell ref="B1:I2"/>
    <mergeCell ref="I4:I16"/>
    <mergeCell ref="A19:I19"/>
    <mergeCell ref="A20:G20"/>
  </mergeCells>
  <conditionalFormatting sqref="H4:H16">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378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6" t="s">
        <v>417</v>
      </c>
      <c r="B4" s="6">
        <v>1000.0</v>
      </c>
      <c r="C4" s="6">
        <v>750.0</v>
      </c>
      <c r="D4" s="4" t="s">
        <v>6</v>
      </c>
      <c r="E4" s="17">
        <f t="shared" ref="E4:E5" si="1">B4-C4</f>
        <v>250</v>
      </c>
      <c r="F4" s="5">
        <f t="shared" ref="F4:F5" si="2">E4/B4*100</f>
        <v>25</v>
      </c>
      <c r="G4" s="5">
        <f>'пф курица маринованная'!G10/'пф курица маринованная'!I10*B4</f>
        <v>384.4233812</v>
      </c>
      <c r="H4" s="59">
        <f t="shared" ref="H4:H5" si="3">G4/$G$6</f>
        <v>0.9968416253</v>
      </c>
      <c r="I4" s="80"/>
      <c r="K4" s="17">
        <v>100.0</v>
      </c>
      <c r="L4" s="131">
        <f>G6/I6*K4</f>
        <v>51.41885082</v>
      </c>
    </row>
    <row r="5">
      <c r="A5" s="6" t="s">
        <v>437</v>
      </c>
      <c r="B5" s="6">
        <v>10.0</v>
      </c>
      <c r="C5" s="6">
        <v>0.0</v>
      </c>
      <c r="D5" s="6" t="s">
        <v>12</v>
      </c>
      <c r="E5" s="17">
        <f t="shared" si="1"/>
        <v>10</v>
      </c>
      <c r="F5" s="5">
        <f t="shared" si="2"/>
        <v>100</v>
      </c>
      <c r="G5" s="5">
        <f>'Матрица поставщиков'!E10*B5</f>
        <v>1.218</v>
      </c>
      <c r="H5" s="59">
        <f t="shared" si="3"/>
        <v>0.003158374748</v>
      </c>
      <c r="I5" s="81"/>
      <c r="K5" s="17">
        <v>1000.0</v>
      </c>
      <c r="L5" s="131">
        <f>G6/I6*K5</f>
        <v>514.1885082</v>
      </c>
    </row>
    <row r="6">
      <c r="A6" s="44" t="s">
        <v>227</v>
      </c>
      <c r="B6" s="4">
        <f>SUM(B4:B5)</f>
        <v>1010</v>
      </c>
      <c r="C6" s="4">
        <f>SUM(C4)</f>
        <v>750</v>
      </c>
      <c r="D6" s="82" t="s">
        <v>275</v>
      </c>
      <c r="E6" s="32">
        <f>sum(E4:E5)</f>
        <v>260</v>
      </c>
      <c r="F6" s="82" t="s">
        <v>275</v>
      </c>
      <c r="G6" s="60">
        <f t="shared" ref="G6:H6" si="4">sum(G4:G5)</f>
        <v>385.6413812</v>
      </c>
      <c r="H6" s="137">
        <f t="shared" si="4"/>
        <v>1</v>
      </c>
      <c r="I6" s="160">
        <f>B6-E6</f>
        <v>750</v>
      </c>
    </row>
    <row r="7">
      <c r="E7" s="42"/>
      <c r="F7" s="40"/>
      <c r="G7" s="42"/>
      <c r="H7" s="42"/>
    </row>
    <row r="8">
      <c r="A8" s="63" t="s">
        <v>238</v>
      </c>
    </row>
    <row r="9">
      <c r="A9" s="138" t="s">
        <v>438</v>
      </c>
      <c r="J9" s="138"/>
      <c r="K9" s="138"/>
      <c r="L9" s="138"/>
      <c r="M9" s="138"/>
      <c r="N9" s="138"/>
      <c r="O9" s="138"/>
      <c r="P9" s="138"/>
      <c r="Q9" s="138"/>
      <c r="R9" s="138"/>
      <c r="S9" s="138"/>
      <c r="T9" s="138"/>
      <c r="U9" s="138"/>
      <c r="V9" s="138"/>
      <c r="W9" s="138"/>
      <c r="X9" s="138"/>
      <c r="Y9" s="138"/>
    </row>
    <row r="10">
      <c r="E10" s="42"/>
      <c r="F10" s="40"/>
      <c r="G10" s="42"/>
      <c r="H10" s="42"/>
    </row>
    <row r="11">
      <c r="E11" s="42"/>
      <c r="F11" s="40"/>
      <c r="G11" s="42"/>
      <c r="H11" s="42"/>
    </row>
    <row r="12">
      <c r="E12" s="42"/>
      <c r="F12" s="40"/>
      <c r="G12" s="42"/>
      <c r="H12" s="42"/>
    </row>
    <row r="13">
      <c r="E13" s="42"/>
      <c r="F13" s="40"/>
      <c r="G13" s="42"/>
      <c r="H13" s="42"/>
    </row>
    <row r="14">
      <c r="E14" s="42"/>
      <c r="F14" s="40"/>
      <c r="G14" s="42"/>
      <c r="H14" s="42"/>
    </row>
    <row r="15">
      <c r="E15" s="42"/>
      <c r="F15" s="40"/>
      <c r="G15" s="42"/>
      <c r="H15" s="42"/>
    </row>
    <row r="16" ht="15.75" customHeight="1">
      <c r="E16" s="42"/>
      <c r="F16" s="40"/>
      <c r="G16" s="42"/>
      <c r="H16" s="42"/>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sheetData>
  <autoFilter ref="$A$3:$H$5">
    <sortState ref="A3:H5">
      <sortCondition descending="1" ref="H3:H5"/>
    </sortState>
  </autoFilter>
  <mergeCells count="5">
    <mergeCell ref="A1:A2"/>
    <mergeCell ref="B1:I2"/>
    <mergeCell ref="I4:I5"/>
    <mergeCell ref="A8:I8"/>
    <mergeCell ref="A9:I9"/>
  </mergeCells>
  <conditionalFormatting sqref="H4:H5">
    <cfRule type="colorScale" priority="1">
      <colorScale>
        <cfvo type="min"/>
        <cfvo type="max"/>
        <color rgb="FFFFFFFF"/>
        <color rgb="FFE67C73"/>
      </colorScale>
    </cfRule>
  </conditionalFormatting>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9.71"/>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228</v>
      </c>
      <c r="B1" s="49" t="s">
        <v>378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6" t="s">
        <v>439</v>
      </c>
      <c r="B4" s="6">
        <v>1000.0</v>
      </c>
      <c r="C4" s="6">
        <v>800.0</v>
      </c>
      <c r="D4" s="4" t="s">
        <v>6</v>
      </c>
      <c r="E4" s="17">
        <f t="shared" ref="E4:E5" si="1">B4-C4</f>
        <v>200</v>
      </c>
      <c r="F4" s="5">
        <f t="shared" ref="F4:F5" si="2">E4/B4*100</f>
        <v>20</v>
      </c>
      <c r="G4" s="5" t="str">
        <f>'пф говядина маринованная'!G17/'пф говядина маринованная'!I17*B4</f>
        <v>#N/A</v>
      </c>
      <c r="H4" s="59" t="str">
        <f t="shared" ref="H4:H5" si="3">G4/$G$6</f>
        <v>#N/A</v>
      </c>
      <c r="I4" s="80"/>
      <c r="K4" s="17">
        <v>100.0</v>
      </c>
      <c r="L4" s="131" t="str">
        <f>G6/I6*K4</f>
        <v>#N/A</v>
      </c>
    </row>
    <row r="5">
      <c r="A5" s="6" t="s">
        <v>437</v>
      </c>
      <c r="B5" s="6">
        <v>20.0</v>
      </c>
      <c r="C5" s="6">
        <v>20.0</v>
      </c>
      <c r="D5" s="6" t="s">
        <v>12</v>
      </c>
      <c r="E5" s="17">
        <f t="shared" si="1"/>
        <v>0</v>
      </c>
      <c r="F5" s="5">
        <f t="shared" si="2"/>
        <v>0</v>
      </c>
      <c r="G5" s="5">
        <f>'Матрица поставщиков'!E10*B5</f>
        <v>2.436</v>
      </c>
      <c r="H5" s="59" t="str">
        <f t="shared" si="3"/>
        <v>#N/A</v>
      </c>
      <c r="I5" s="81"/>
      <c r="K5" s="17">
        <v>1000.0</v>
      </c>
      <c r="L5" s="131" t="str">
        <f>G6/I6*K5</f>
        <v>#N/A</v>
      </c>
    </row>
    <row r="6">
      <c r="A6" s="44" t="s">
        <v>227</v>
      </c>
      <c r="B6" s="4">
        <f>SUM(B4:B5)</f>
        <v>1020</v>
      </c>
      <c r="C6" s="4">
        <f>SUM(C4)</f>
        <v>800</v>
      </c>
      <c r="D6" s="82" t="s">
        <v>275</v>
      </c>
      <c r="E6" s="32">
        <f>sum(E4:E5)</f>
        <v>200</v>
      </c>
      <c r="F6" s="82" t="s">
        <v>275</v>
      </c>
      <c r="G6" s="60" t="str">
        <f t="shared" ref="G6:H6" si="4">sum(G4:G5)</f>
        <v>#N/A</v>
      </c>
      <c r="H6" s="137" t="str">
        <f t="shared" si="4"/>
        <v>#N/A</v>
      </c>
      <c r="I6" s="160">
        <f>B6-E6</f>
        <v>820</v>
      </c>
    </row>
    <row r="7">
      <c r="E7" s="42"/>
      <c r="F7" s="40"/>
      <c r="G7" s="42"/>
      <c r="H7" s="42"/>
    </row>
    <row r="8">
      <c r="A8" s="63" t="s">
        <v>238</v>
      </c>
    </row>
    <row r="9">
      <c r="A9" s="64" t="s">
        <v>440</v>
      </c>
      <c r="H9" s="138"/>
      <c r="I9" s="138"/>
      <c r="J9" s="138"/>
      <c r="K9" s="138"/>
      <c r="L9" s="138"/>
      <c r="M9" s="138"/>
      <c r="N9" s="138"/>
      <c r="O9" s="138"/>
      <c r="P9" s="138"/>
      <c r="Q9" s="138"/>
      <c r="R9" s="138"/>
      <c r="S9" s="138"/>
      <c r="T9" s="138"/>
      <c r="U9" s="138"/>
      <c r="V9" s="138"/>
      <c r="W9" s="138"/>
      <c r="X9" s="138"/>
      <c r="Y9" s="138"/>
    </row>
    <row r="10">
      <c r="E10" s="42"/>
      <c r="F10" s="40"/>
      <c r="G10" s="42"/>
      <c r="H10" s="42"/>
    </row>
    <row r="11">
      <c r="E11" s="42"/>
      <c r="F11" s="40"/>
      <c r="G11" s="42"/>
      <c r="H11" s="42"/>
    </row>
    <row r="12">
      <c r="E12" s="42"/>
      <c r="F12" s="40"/>
      <c r="G12" s="42"/>
      <c r="H12" s="42"/>
    </row>
    <row r="13">
      <c r="E13" s="42"/>
      <c r="F13" s="40"/>
      <c r="G13" s="42"/>
      <c r="H13" s="42"/>
    </row>
    <row r="14">
      <c r="E14" s="42"/>
      <c r="F14" s="40"/>
      <c r="G14" s="42"/>
      <c r="H14" s="42"/>
    </row>
    <row r="15">
      <c r="E15" s="42"/>
      <c r="F15" s="40"/>
      <c r="G15" s="42"/>
      <c r="H15" s="42"/>
    </row>
    <row r="16" ht="15.75" customHeight="1">
      <c r="E16" s="42"/>
      <c r="F16" s="40"/>
      <c r="G16" s="42"/>
      <c r="H16" s="42"/>
    </row>
    <row r="17" ht="15.75" customHeight="1">
      <c r="E17" s="42"/>
      <c r="F17" s="40"/>
      <c r="G17" s="42"/>
      <c r="H17" s="42"/>
    </row>
    <row r="18" ht="15.75" customHeight="1">
      <c r="E18" s="42"/>
      <c r="F18" s="40"/>
      <c r="G18" s="42"/>
      <c r="H18" s="42"/>
    </row>
    <row r="19" ht="15.75" customHeight="1">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sheetData>
  <autoFilter ref="$A$3:$H$5">
    <sortState ref="A3:H5">
      <sortCondition descending="1" ref="H3:H5"/>
    </sortState>
  </autoFilter>
  <mergeCells count="5">
    <mergeCell ref="A1:A2"/>
    <mergeCell ref="B1:I2"/>
    <mergeCell ref="I4:I5"/>
    <mergeCell ref="A8:I8"/>
    <mergeCell ref="A9:G9"/>
  </mergeCells>
  <conditionalFormatting sqref="H4:H5">
    <cfRule type="colorScale" priority="1">
      <colorScale>
        <cfvo type="min"/>
        <cfvo type="max"/>
        <color rgb="FFFFFFFF"/>
        <color rgb="FFE67C73"/>
      </colorScale>
    </cfRule>
  </conditionalFormatting>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398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175</v>
      </c>
      <c r="B4" s="6">
        <v>200.0</v>
      </c>
      <c r="C4" s="6">
        <v>200.0</v>
      </c>
      <c r="D4" s="4" t="s">
        <v>6</v>
      </c>
      <c r="E4" s="17">
        <f t="shared" ref="E4:E13" si="1">B4-C4</f>
        <v>0</v>
      </c>
      <c r="F4" s="5">
        <f t="shared" ref="F4:F13" si="2">E4/B4*100</f>
        <v>0</v>
      </c>
      <c r="G4" s="5">
        <f>VLOOKUP(A4,'Матрица поставщиков'!A1:E530,5,0) * B4</f>
        <v>66.8</v>
      </c>
      <c r="H4" s="59">
        <f t="shared" ref="H4:H12" si="3">G4/$G$13</f>
        <v>0.2255187268</v>
      </c>
      <c r="I4" s="80"/>
      <c r="K4" s="17">
        <v>100.0</v>
      </c>
      <c r="L4" s="131">
        <f>G13/I13*K4</f>
        <v>65.82355556</v>
      </c>
    </row>
    <row r="5">
      <c r="A5" s="11" t="s">
        <v>162</v>
      </c>
      <c r="B5" s="6">
        <v>250.0</v>
      </c>
      <c r="C5" s="6">
        <v>250.0</v>
      </c>
      <c r="D5" s="4" t="s">
        <v>6</v>
      </c>
      <c r="E5" s="17">
        <f t="shared" si="1"/>
        <v>0</v>
      </c>
      <c r="F5" s="5">
        <f t="shared" si="2"/>
        <v>0</v>
      </c>
      <c r="G5" s="5">
        <f>VLOOKUP(A5,'Матрица поставщиков'!A1:E545,5,0) * B5</f>
        <v>150</v>
      </c>
      <c r="H5" s="59">
        <f t="shared" si="3"/>
        <v>0.5064043267</v>
      </c>
      <c r="I5" s="81"/>
      <c r="K5" s="17">
        <v>1.0</v>
      </c>
      <c r="L5" s="131">
        <f>G13/I13*K5</f>
        <v>0.6582355556</v>
      </c>
    </row>
    <row r="6">
      <c r="A6" s="11" t="s">
        <v>176</v>
      </c>
      <c r="B6" s="6">
        <v>100.0</v>
      </c>
      <c r="C6" s="6">
        <v>100.0</v>
      </c>
      <c r="D6" s="4" t="s">
        <v>6</v>
      </c>
      <c r="E6" s="17">
        <f t="shared" si="1"/>
        <v>0</v>
      </c>
      <c r="F6" s="5">
        <f t="shared" si="2"/>
        <v>0</v>
      </c>
      <c r="G6" s="5">
        <f>VLOOKUP(A6,'Матрица поставщиков'!A2:E550,5,0) * B6</f>
        <v>77.8</v>
      </c>
      <c r="H6" s="59">
        <f t="shared" si="3"/>
        <v>0.2626550441</v>
      </c>
      <c r="I6" s="81"/>
      <c r="K6" s="139">
        <v>40.0</v>
      </c>
      <c r="L6" s="131">
        <f>G13/I13*K6</f>
        <v>26.32942222</v>
      </c>
    </row>
    <row r="7">
      <c r="A7" s="11" t="s">
        <v>119</v>
      </c>
      <c r="B7" s="6">
        <v>1.0</v>
      </c>
      <c r="C7" s="6">
        <v>1.0</v>
      </c>
      <c r="D7" s="4" t="s">
        <v>6</v>
      </c>
      <c r="E7" s="17">
        <f t="shared" si="1"/>
        <v>0</v>
      </c>
      <c r="F7" s="5">
        <f t="shared" si="2"/>
        <v>0</v>
      </c>
      <c r="G7" s="5">
        <f>VLOOKUP(A7,'Матрица поставщиков'!A2:E200,5,0) * B7</f>
        <v>0.67</v>
      </c>
      <c r="H7" s="59">
        <f t="shared" si="3"/>
        <v>0.002261939326</v>
      </c>
      <c r="I7" s="81"/>
      <c r="K7" s="139"/>
      <c r="L7" s="161"/>
    </row>
    <row r="8">
      <c r="A8" s="28" t="s">
        <v>128</v>
      </c>
      <c r="B8" s="6">
        <v>1.0</v>
      </c>
      <c r="C8" s="6">
        <v>1.0</v>
      </c>
      <c r="D8" s="4" t="s">
        <v>6</v>
      </c>
      <c r="E8" s="17">
        <f t="shared" si="1"/>
        <v>0</v>
      </c>
      <c r="F8" s="5">
        <f t="shared" si="2"/>
        <v>0</v>
      </c>
      <c r="G8" s="5">
        <f>VLOOKUP(A8,'Матрица поставщиков'!A1:E55,5,0) * B8</f>
        <v>0.894</v>
      </c>
      <c r="H8" s="59">
        <f t="shared" si="3"/>
        <v>0.003018169787</v>
      </c>
      <c r="I8" s="81"/>
      <c r="K8" s="139"/>
      <c r="L8" s="161"/>
    </row>
    <row r="9">
      <c r="A9" s="28" t="s">
        <v>17</v>
      </c>
      <c r="B9" s="6">
        <v>1.0</v>
      </c>
      <c r="C9" s="6">
        <v>1.0</v>
      </c>
      <c r="D9" s="4" t="s">
        <v>6</v>
      </c>
      <c r="E9" s="17">
        <f t="shared" si="1"/>
        <v>0</v>
      </c>
      <c r="F9" s="5">
        <f t="shared" si="2"/>
        <v>0</v>
      </c>
      <c r="G9" s="5">
        <f>VLOOKUP(A9,'Матрица поставщиков'!A1:E56,5,0) * B9</f>
        <v>0.042</v>
      </c>
      <c r="H9" s="59">
        <f t="shared" si="3"/>
        <v>0.0001417932115</v>
      </c>
      <c r="I9" s="81"/>
      <c r="K9" s="139"/>
      <c r="L9" s="161"/>
    </row>
    <row r="10">
      <c r="A10" s="152" t="s">
        <v>126</v>
      </c>
      <c r="B10" s="6">
        <v>1.0</v>
      </c>
      <c r="C10" s="6">
        <v>1.0</v>
      </c>
      <c r="D10" s="4" t="s">
        <v>6</v>
      </c>
      <c r="E10" s="17">
        <f t="shared" si="1"/>
        <v>0</v>
      </c>
      <c r="F10" s="5">
        <f t="shared" si="2"/>
        <v>0</v>
      </c>
      <c r="G10" s="5">
        <f>VLOOKUP(A10,'Матрица поставщиков'!A2:E57,5,0) * B10</f>
        <v>0.9033333333</v>
      </c>
      <c r="H10" s="59">
        <f t="shared" si="3"/>
        <v>0.00304967939</v>
      </c>
      <c r="I10" s="80"/>
      <c r="K10" s="139"/>
      <c r="L10" s="161"/>
    </row>
    <row r="11">
      <c r="A11" s="6" t="s">
        <v>106</v>
      </c>
      <c r="B11" s="6">
        <v>1.0</v>
      </c>
      <c r="C11" s="6">
        <v>1.0</v>
      </c>
      <c r="D11" s="4" t="s">
        <v>6</v>
      </c>
      <c r="E11" s="17">
        <f t="shared" si="1"/>
        <v>0</v>
      </c>
      <c r="F11" s="5">
        <f t="shared" si="2"/>
        <v>0</v>
      </c>
      <c r="G11" s="5">
        <f>VLOOKUP(A11,'Матрица поставщиков'!A3:E58,5,0) * B11</f>
        <v>0.7</v>
      </c>
      <c r="H11" s="59">
        <f t="shared" si="3"/>
        <v>0.002363220191</v>
      </c>
      <c r="I11" s="80"/>
      <c r="K11" s="139"/>
      <c r="L11" s="161"/>
    </row>
    <row r="12">
      <c r="A12" s="6" t="s">
        <v>183</v>
      </c>
      <c r="B12" s="6">
        <v>0.5</v>
      </c>
      <c r="C12" s="6">
        <v>0.5</v>
      </c>
      <c r="D12" s="4" t="s">
        <v>6</v>
      </c>
      <c r="E12" s="17">
        <f t="shared" si="1"/>
        <v>0</v>
      </c>
      <c r="F12" s="5">
        <f t="shared" si="2"/>
        <v>0</v>
      </c>
      <c r="G12" s="5">
        <f>VLOOKUP(A12,'Матрица поставщиков'!A4:E590,5,0) * B12</f>
        <v>0.1925</v>
      </c>
      <c r="H12" s="59">
        <f t="shared" si="3"/>
        <v>0.0006498855526</v>
      </c>
      <c r="I12" s="80"/>
      <c r="K12" s="139"/>
      <c r="L12" s="161"/>
    </row>
    <row r="13">
      <c r="A13" s="44" t="s">
        <v>227</v>
      </c>
      <c r="B13" s="4">
        <f t="shared" ref="B13:C13" si="4">SUM(B4:B9)</f>
        <v>553</v>
      </c>
      <c r="C13" s="6">
        <f t="shared" si="4"/>
        <v>553</v>
      </c>
      <c r="D13" s="82" t="s">
        <v>275</v>
      </c>
      <c r="E13" s="17">
        <f t="shared" si="1"/>
        <v>0</v>
      </c>
      <c r="F13" s="82">
        <f t="shared" si="2"/>
        <v>0</v>
      </c>
      <c r="G13" s="60">
        <f t="shared" ref="G13:H13" si="5">sum(G4:G9)</f>
        <v>296.206</v>
      </c>
      <c r="H13" s="137">
        <f t="shared" si="5"/>
        <v>1</v>
      </c>
      <c r="I13" s="104">
        <v>450.0</v>
      </c>
    </row>
    <row r="14">
      <c r="E14" s="42"/>
      <c r="F14" s="40"/>
      <c r="G14" s="42"/>
      <c r="H14" s="42"/>
    </row>
    <row r="15">
      <c r="A15" s="63" t="s">
        <v>238</v>
      </c>
    </row>
    <row r="16">
      <c r="A16" s="64" t="s">
        <v>442</v>
      </c>
      <c r="H16" s="138"/>
      <c r="I16" s="138"/>
      <c r="J16" s="138"/>
      <c r="K16" s="138"/>
      <c r="L16" s="138"/>
      <c r="M16" s="138"/>
      <c r="N16" s="138"/>
      <c r="O16" s="138"/>
      <c r="P16" s="138"/>
      <c r="Q16" s="138"/>
      <c r="R16" s="138"/>
      <c r="S16" s="138"/>
      <c r="T16" s="138"/>
      <c r="U16" s="138"/>
      <c r="V16" s="138"/>
      <c r="W16" s="138"/>
      <c r="X16" s="138"/>
      <c r="Y16" s="138"/>
    </row>
    <row r="17">
      <c r="E17" s="42"/>
      <c r="F17" s="40"/>
      <c r="G17" s="42"/>
      <c r="H17" s="42"/>
    </row>
    <row r="18">
      <c r="E18" s="42"/>
      <c r="F18" s="40"/>
      <c r="G18" s="42"/>
      <c r="H18" s="42"/>
    </row>
    <row r="19">
      <c r="E19" s="42"/>
      <c r="F19" s="40"/>
      <c r="G19" s="42"/>
      <c r="H19" s="42"/>
    </row>
    <row r="20">
      <c r="B20" s="6" t="s">
        <v>443</v>
      </c>
      <c r="C20" s="37">
        <f>G13/I13</f>
        <v>0.6582355556</v>
      </c>
      <c r="E20" s="42"/>
      <c r="F20" s="40"/>
      <c r="G20" s="42"/>
      <c r="H20" s="42"/>
    </row>
    <row r="21">
      <c r="B21" s="6">
        <v>50.0</v>
      </c>
      <c r="C21" s="37">
        <f>B21*C20</f>
        <v>32.91177778</v>
      </c>
      <c r="E21" s="42"/>
      <c r="F21" s="40"/>
      <c r="G21" s="42"/>
      <c r="H21" s="42"/>
    </row>
    <row r="22">
      <c r="B22" s="6"/>
      <c r="E22" s="42"/>
      <c r="F22" s="40"/>
      <c r="G22" s="42"/>
      <c r="H22" s="42"/>
    </row>
    <row r="23" ht="15.75" customHeight="1">
      <c r="B23" s="6"/>
      <c r="E23" s="42"/>
      <c r="F23" s="40"/>
      <c r="G23" s="42"/>
      <c r="H23" s="42"/>
    </row>
    <row r="24" ht="15.75" customHeight="1">
      <c r="B24" s="6"/>
      <c r="E24" s="42"/>
      <c r="F24" s="40"/>
      <c r="G24" s="42"/>
      <c r="H24" s="42"/>
    </row>
    <row r="25" ht="15.75" customHeight="1">
      <c r="B25" s="6"/>
      <c r="E25" s="42"/>
      <c r="F25" s="40"/>
      <c r="G25" s="42"/>
      <c r="H25" s="42"/>
    </row>
    <row r="26" ht="15.75" customHeight="1">
      <c r="B26" s="6"/>
      <c r="E26" s="42"/>
      <c r="F26" s="40"/>
      <c r="G26" s="42"/>
      <c r="H26" s="42"/>
    </row>
    <row r="27" ht="15.75" customHeight="1">
      <c r="B27" s="4"/>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row r="1001" ht="15.75" customHeight="1">
      <c r="E1001" s="42"/>
      <c r="F1001" s="40"/>
      <c r="G1001" s="42"/>
      <c r="H1001" s="42"/>
    </row>
    <row r="1002" ht="15.75" customHeight="1">
      <c r="E1002" s="42"/>
      <c r="F1002" s="40"/>
      <c r="G1002" s="42"/>
      <c r="H1002" s="42"/>
    </row>
  </sheetData>
  <mergeCells count="5">
    <mergeCell ref="A1:A2"/>
    <mergeCell ref="B1:I2"/>
    <mergeCell ref="I4:I9"/>
    <mergeCell ref="A15:I15"/>
    <mergeCell ref="A16:G16"/>
  </mergeCells>
  <conditionalFormatting sqref="H4:H12">
    <cfRule type="colorScale" priority="1">
      <colorScale>
        <cfvo type="min"/>
        <cfvo type="max"/>
        <color rgb="FFFFFFFF"/>
        <color rgb="FFE67C73"/>
      </colorScale>
    </cfRule>
  </conditionalFormatting>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373</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21</v>
      </c>
      <c r="B4" s="6">
        <v>120.0</v>
      </c>
      <c r="C4" s="6">
        <v>120.0</v>
      </c>
      <c r="D4" s="4" t="s">
        <v>6</v>
      </c>
      <c r="E4" s="17">
        <f t="shared" ref="E4:E14" si="1">B4-C4</f>
        <v>0</v>
      </c>
      <c r="F4" s="5">
        <f t="shared" ref="F4:F14" si="2">E4/B4*100</f>
        <v>0</v>
      </c>
      <c r="G4" s="5">
        <f>VLOOKUP(A4,'Матрица поставщиков'!A1:E530,5,0) * B4</f>
        <v>12.36</v>
      </c>
      <c r="H4" s="59">
        <f t="shared" ref="H4:H13" si="3">G4/$G$14</f>
        <v>0.3867909029</v>
      </c>
      <c r="I4" s="80"/>
      <c r="K4" s="17">
        <v>100.0</v>
      </c>
      <c r="L4" s="131">
        <f>G14/I14*K4</f>
        <v>14.52511364</v>
      </c>
    </row>
    <row r="5">
      <c r="A5" s="11" t="s">
        <v>393</v>
      </c>
      <c r="B5" s="6">
        <v>100.0</v>
      </c>
      <c r="C5" s="6">
        <v>100.0</v>
      </c>
      <c r="D5" s="4" t="s">
        <v>6</v>
      </c>
      <c r="E5" s="17">
        <f t="shared" si="1"/>
        <v>0</v>
      </c>
      <c r="F5" s="5">
        <f t="shared" si="2"/>
        <v>0</v>
      </c>
      <c r="G5" s="5">
        <f>VLOOKUP(A5,'Матрица поставщиков'!A1:E545,5,0) * B5</f>
        <v>0</v>
      </c>
      <c r="H5" s="59">
        <f t="shared" si="3"/>
        <v>0</v>
      </c>
      <c r="I5" s="81"/>
      <c r="K5" s="17">
        <v>1.0</v>
      </c>
      <c r="L5" s="131">
        <f>G14/I14*K5</f>
        <v>0.1452511364</v>
      </c>
    </row>
    <row r="6">
      <c r="A6" s="11" t="s">
        <v>119</v>
      </c>
      <c r="B6" s="6">
        <v>3.0</v>
      </c>
      <c r="C6" s="6">
        <v>0.0</v>
      </c>
      <c r="D6" s="4" t="s">
        <v>6</v>
      </c>
      <c r="E6" s="17">
        <f t="shared" si="1"/>
        <v>3</v>
      </c>
      <c r="F6" s="5">
        <f t="shared" si="2"/>
        <v>100</v>
      </c>
      <c r="G6" s="5">
        <f>VLOOKUP(A6,'Матрица поставщиков'!A2:E200,5,0) * B6</f>
        <v>2.01</v>
      </c>
      <c r="H6" s="59">
        <f t="shared" si="3"/>
        <v>0.06290046237</v>
      </c>
      <c r="I6" s="81"/>
      <c r="K6" s="139"/>
      <c r="L6" s="161"/>
    </row>
    <row r="7">
      <c r="A7" s="28" t="s">
        <v>128</v>
      </c>
      <c r="B7" s="6">
        <v>3.0</v>
      </c>
      <c r="C7" s="6">
        <v>0.0</v>
      </c>
      <c r="D7" s="4" t="s">
        <v>6</v>
      </c>
      <c r="E7" s="17">
        <f t="shared" si="1"/>
        <v>3</v>
      </c>
      <c r="F7" s="5">
        <f t="shared" si="2"/>
        <v>100</v>
      </c>
      <c r="G7" s="5">
        <f>VLOOKUP(A7,'Матрица поставщиков'!A1:E55,5,0) * B7</f>
        <v>2.682</v>
      </c>
      <c r="H7" s="59">
        <f t="shared" si="3"/>
        <v>0.08392987068</v>
      </c>
      <c r="I7" s="81"/>
      <c r="K7" s="139"/>
      <c r="L7" s="161"/>
    </row>
    <row r="8">
      <c r="A8" s="4" t="s">
        <v>23</v>
      </c>
      <c r="B8" s="6">
        <v>1.0</v>
      </c>
      <c r="C8" s="6">
        <v>0.0</v>
      </c>
      <c r="D8" s="4" t="s">
        <v>6</v>
      </c>
      <c r="E8" s="17">
        <f t="shared" si="1"/>
        <v>1</v>
      </c>
      <c r="F8" s="5">
        <f t="shared" si="2"/>
        <v>100</v>
      </c>
      <c r="G8" s="5">
        <f>VLOOKUP(A8,'Матрица поставщиков'!A1:E56,5,0) * B8</f>
        <v>1.057</v>
      </c>
      <c r="H8" s="59">
        <f t="shared" si="3"/>
        <v>0.03307750683</v>
      </c>
      <c r="I8" s="81"/>
      <c r="K8" s="139"/>
      <c r="L8" s="161"/>
    </row>
    <row r="9">
      <c r="A9" s="152" t="s">
        <v>126</v>
      </c>
      <c r="B9" s="6">
        <v>0.5</v>
      </c>
      <c r="C9" s="6">
        <v>0.0</v>
      </c>
      <c r="D9" s="4" t="s">
        <v>6</v>
      </c>
      <c r="E9" s="17">
        <f t="shared" si="1"/>
        <v>0.5</v>
      </c>
      <c r="F9" s="5">
        <f t="shared" si="2"/>
        <v>100</v>
      </c>
      <c r="G9" s="5">
        <f>VLOOKUP(A9,'Матрица поставщиков'!A2:E57,5,0) * B9</f>
        <v>0.4516666667</v>
      </c>
      <c r="H9" s="59">
        <f t="shared" si="3"/>
        <v>0.01413434934</v>
      </c>
      <c r="I9" s="80"/>
      <c r="K9" s="139"/>
      <c r="L9" s="161"/>
    </row>
    <row r="10">
      <c r="A10" s="6" t="s">
        <v>15</v>
      </c>
      <c r="B10" s="6">
        <v>5.0</v>
      </c>
      <c r="C10" s="6">
        <v>0.0</v>
      </c>
      <c r="D10" s="4" t="s">
        <v>6</v>
      </c>
      <c r="E10" s="17">
        <f t="shared" si="1"/>
        <v>5</v>
      </c>
      <c r="F10" s="5">
        <f t="shared" si="2"/>
        <v>100</v>
      </c>
      <c r="G10" s="5">
        <f>VLOOKUP(A10,'Матрица поставщиков'!A3:E58,5,0) * B10</f>
        <v>0.345</v>
      </c>
      <c r="H10" s="59">
        <f t="shared" si="3"/>
        <v>0.01079634802</v>
      </c>
      <c r="I10" s="80"/>
      <c r="K10" s="139"/>
      <c r="L10" s="161"/>
    </row>
    <row r="11">
      <c r="A11" s="6" t="s">
        <v>190</v>
      </c>
      <c r="B11" s="6">
        <v>1.0</v>
      </c>
      <c r="C11" s="6">
        <v>0.0</v>
      </c>
      <c r="D11" s="4" t="s">
        <v>6</v>
      </c>
      <c r="E11" s="17">
        <f t="shared" si="1"/>
        <v>1</v>
      </c>
      <c r="F11" s="5">
        <f t="shared" si="2"/>
        <v>100</v>
      </c>
      <c r="G11" s="5">
        <f>VLOOKUP(A11,'Матрица поставщиков'!A4:E590,5,0) * B11</f>
        <v>1.36</v>
      </c>
      <c r="H11" s="59">
        <f t="shared" si="3"/>
        <v>0.04255951682</v>
      </c>
      <c r="I11" s="80"/>
      <c r="K11" s="139"/>
      <c r="L11" s="161"/>
    </row>
    <row r="12">
      <c r="A12" s="6" t="s">
        <v>170</v>
      </c>
      <c r="B12" s="6">
        <v>5.0</v>
      </c>
      <c r="C12" s="6">
        <v>0.0</v>
      </c>
      <c r="D12" s="4" t="s">
        <v>6</v>
      </c>
      <c r="E12" s="17">
        <f t="shared" si="1"/>
        <v>5</v>
      </c>
      <c r="F12" s="5">
        <f t="shared" si="2"/>
        <v>100</v>
      </c>
      <c r="G12" s="5">
        <f>VLOOKUP(A12,'Матрица поставщиков'!A5:E591,5,0) * B12</f>
        <v>5.739583333</v>
      </c>
      <c r="H12" s="59">
        <f t="shared" si="3"/>
        <v>0.1796131569</v>
      </c>
      <c r="I12" s="80"/>
      <c r="K12" s="139"/>
      <c r="L12" s="161"/>
    </row>
    <row r="13">
      <c r="A13" s="6" t="s">
        <v>189</v>
      </c>
      <c r="B13" s="6">
        <v>5.0</v>
      </c>
      <c r="C13" s="6">
        <v>0.0</v>
      </c>
      <c r="D13" s="4" t="s">
        <v>6</v>
      </c>
      <c r="E13" s="17">
        <f t="shared" si="1"/>
        <v>5</v>
      </c>
      <c r="F13" s="5">
        <f t="shared" si="2"/>
        <v>100</v>
      </c>
      <c r="G13" s="5">
        <f>VLOOKUP(A13,'Матрица поставщиков'!A6:E592,5,0) * B13</f>
        <v>5.95</v>
      </c>
      <c r="H13" s="59">
        <f t="shared" si="3"/>
        <v>0.1861978861</v>
      </c>
      <c r="I13" s="80"/>
      <c r="K13" s="139"/>
      <c r="L13" s="161"/>
    </row>
    <row r="14">
      <c r="A14" s="44" t="s">
        <v>227</v>
      </c>
      <c r="B14" s="4">
        <f t="shared" ref="B14:C14" si="4">SUM(B4:B8)</f>
        <v>227</v>
      </c>
      <c r="C14" s="6">
        <f t="shared" si="4"/>
        <v>220</v>
      </c>
      <c r="D14" s="82" t="s">
        <v>275</v>
      </c>
      <c r="E14" s="17">
        <f t="shared" si="1"/>
        <v>7</v>
      </c>
      <c r="F14" s="82">
        <f t="shared" si="2"/>
        <v>3.083700441</v>
      </c>
      <c r="G14" s="60">
        <f t="shared" ref="G14:H14" si="5">SUM(G4:G13)</f>
        <v>31.95525</v>
      </c>
      <c r="H14" s="137">
        <f t="shared" si="5"/>
        <v>1</v>
      </c>
      <c r="I14" s="160">
        <f>B14-E14</f>
        <v>220</v>
      </c>
    </row>
    <row r="15">
      <c r="E15" s="42"/>
      <c r="F15" s="40"/>
      <c r="G15" s="42"/>
      <c r="H15" s="42"/>
    </row>
    <row r="16">
      <c r="A16" s="63" t="s">
        <v>238</v>
      </c>
    </row>
    <row r="17">
      <c r="A17" s="64"/>
      <c r="H17" s="138"/>
      <c r="I17" s="138"/>
      <c r="J17" s="138"/>
      <c r="K17" s="138"/>
      <c r="L17" s="138"/>
      <c r="M17" s="138"/>
      <c r="N17" s="138"/>
      <c r="O17" s="138"/>
      <c r="P17" s="138"/>
      <c r="Q17" s="138"/>
      <c r="R17" s="138"/>
      <c r="S17" s="138"/>
      <c r="T17" s="138"/>
      <c r="U17" s="138"/>
      <c r="V17" s="138"/>
      <c r="W17" s="138"/>
      <c r="X17" s="138"/>
      <c r="Y17" s="138"/>
    </row>
    <row r="18">
      <c r="E18" s="42"/>
      <c r="F18" s="40"/>
      <c r="G18" s="42"/>
      <c r="H18" s="42"/>
    </row>
    <row r="19">
      <c r="E19" s="42"/>
      <c r="F19" s="40"/>
      <c r="G19" s="42"/>
      <c r="H19" s="42"/>
    </row>
    <row r="20">
      <c r="E20" s="42"/>
      <c r="F20" s="40"/>
      <c r="G20" s="42"/>
      <c r="H20" s="42"/>
    </row>
    <row r="21">
      <c r="B21" s="6" t="s">
        <v>443</v>
      </c>
      <c r="C21" s="37">
        <f>G14/I14</f>
        <v>0.1452511364</v>
      </c>
      <c r="E21" s="42"/>
      <c r="F21" s="40"/>
      <c r="G21" s="42"/>
      <c r="H21" s="42"/>
    </row>
    <row r="22">
      <c r="B22" s="6">
        <v>50.0</v>
      </c>
      <c r="C22" s="37">
        <f>B22*C21</f>
        <v>7.262556818</v>
      </c>
      <c r="E22" s="42"/>
      <c r="F22" s="40"/>
      <c r="G22" s="42"/>
      <c r="H22" s="42"/>
    </row>
    <row r="23">
      <c r="B23" s="6"/>
      <c r="E23" s="42"/>
      <c r="F23" s="40"/>
      <c r="G23" s="42"/>
      <c r="H23" s="42"/>
    </row>
    <row r="24" ht="15.75" customHeight="1">
      <c r="B24" s="6"/>
      <c r="E24" s="42"/>
      <c r="F24" s="40"/>
      <c r="G24" s="42"/>
      <c r="H24" s="42"/>
    </row>
    <row r="25" ht="15.75" customHeight="1">
      <c r="B25" s="6"/>
      <c r="E25" s="42"/>
      <c r="F25" s="40"/>
      <c r="G25" s="42"/>
      <c r="H25" s="42"/>
    </row>
    <row r="26" ht="15.75" customHeight="1">
      <c r="B26" s="6"/>
      <c r="E26" s="42"/>
      <c r="F26" s="40"/>
      <c r="G26" s="42"/>
      <c r="H26" s="42"/>
    </row>
    <row r="27" ht="15.75" customHeight="1">
      <c r="B27" s="6"/>
      <c r="E27" s="42"/>
      <c r="F27" s="40"/>
      <c r="G27" s="42"/>
      <c r="H27" s="42"/>
    </row>
    <row r="28" ht="15.75" customHeight="1">
      <c r="B28" s="4"/>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row r="998" ht="15.75" customHeight="1">
      <c r="E998" s="42"/>
      <c r="F998" s="40"/>
      <c r="G998" s="42"/>
      <c r="H998" s="42"/>
    </row>
    <row r="999" ht="15.75" customHeight="1">
      <c r="E999" s="42"/>
      <c r="F999" s="40"/>
      <c r="G999" s="42"/>
      <c r="H999" s="42"/>
    </row>
    <row r="1000" ht="15.75" customHeight="1">
      <c r="E1000" s="42"/>
      <c r="F1000" s="40"/>
      <c r="G1000" s="42"/>
      <c r="H1000" s="42"/>
    </row>
    <row r="1001" ht="15.75" customHeight="1">
      <c r="E1001" s="42"/>
      <c r="F1001" s="40"/>
      <c r="G1001" s="42"/>
      <c r="H1001" s="42"/>
    </row>
    <row r="1002" ht="15.75" customHeight="1">
      <c r="E1002" s="42"/>
      <c r="F1002" s="40"/>
      <c r="G1002" s="42"/>
      <c r="H1002" s="42"/>
    </row>
    <row r="1003" ht="15.75" customHeight="1">
      <c r="E1003" s="42"/>
      <c r="F1003" s="40"/>
      <c r="G1003" s="42"/>
      <c r="H1003" s="42"/>
    </row>
  </sheetData>
  <mergeCells count="5">
    <mergeCell ref="A1:A2"/>
    <mergeCell ref="B1:I2"/>
    <mergeCell ref="I4:I8"/>
    <mergeCell ref="A16:I16"/>
    <mergeCell ref="A17:G17"/>
  </mergeCells>
  <conditionalFormatting sqref="H4:H13">
    <cfRule type="colorScale" priority="1">
      <colorScale>
        <cfvo type="min"/>
        <cfvo type="max"/>
        <color rgb="FFFFFFFF"/>
        <color rgb="FFE67C73"/>
      </colorScale>
    </cfRule>
  </conditionalFormatting>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369</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193</v>
      </c>
      <c r="B4" s="6">
        <v>300.0</v>
      </c>
      <c r="C4" s="6">
        <v>300.0</v>
      </c>
      <c r="D4" s="4" t="s">
        <v>6</v>
      </c>
      <c r="E4" s="17">
        <f t="shared" ref="E4:E8" si="1">B4-C4</f>
        <v>0</v>
      </c>
      <c r="F4" s="5">
        <f t="shared" ref="F4:F8" si="2">E4/B4*100</f>
        <v>0</v>
      </c>
      <c r="G4" s="5">
        <f>VLOOKUP(A4,'Матрица поставщиков'!A1:E530,5,0) * B4</f>
        <v>33.3</v>
      </c>
      <c r="H4" s="59">
        <f t="shared" ref="H4:H7" si="3">G4/$G$8</f>
        <v>0.3024202383</v>
      </c>
      <c r="I4" s="80"/>
      <c r="K4" s="17">
        <v>100.0</v>
      </c>
      <c r="L4" s="131">
        <f>G8/I8*K4</f>
        <v>19.3178383</v>
      </c>
    </row>
    <row r="5">
      <c r="A5" s="11" t="s">
        <v>361</v>
      </c>
      <c r="B5" s="6">
        <v>200.0</v>
      </c>
      <c r="C5" s="6">
        <v>200.0</v>
      </c>
      <c r="D5" s="4" t="s">
        <v>6</v>
      </c>
      <c r="E5" s="17">
        <f t="shared" si="1"/>
        <v>0</v>
      </c>
      <c r="F5" s="5">
        <f t="shared" si="2"/>
        <v>0</v>
      </c>
      <c r="G5" s="5">
        <f>'пф соус Нар'!C13*B5</f>
        <v>58.32167832</v>
      </c>
      <c r="H5" s="59">
        <f t="shared" si="3"/>
        <v>0.5296593351</v>
      </c>
      <c r="I5" s="81"/>
      <c r="K5" s="17">
        <v>1.0</v>
      </c>
      <c r="L5" s="131">
        <f>G8/I8*K5</f>
        <v>0.193178383</v>
      </c>
    </row>
    <row r="6">
      <c r="A6" s="11" t="s">
        <v>197</v>
      </c>
      <c r="B6" s="6">
        <v>50.0</v>
      </c>
      <c r="C6" s="6">
        <v>50.0</v>
      </c>
      <c r="D6" s="4" t="s">
        <v>6</v>
      </c>
      <c r="E6" s="17">
        <f t="shared" si="1"/>
        <v>0</v>
      </c>
      <c r="F6" s="5">
        <f t="shared" si="2"/>
        <v>0</v>
      </c>
      <c r="G6" s="5">
        <f>VLOOKUP(A6,'Матрица поставщиков'!A2:E200,5,0) * B6</f>
        <v>12.81</v>
      </c>
      <c r="H6" s="59">
        <f t="shared" si="3"/>
        <v>0.116336434</v>
      </c>
      <c r="I6" s="81"/>
      <c r="K6" s="139"/>
      <c r="L6" s="161"/>
    </row>
    <row r="7">
      <c r="A7" s="11" t="s">
        <v>121</v>
      </c>
      <c r="B7" s="6">
        <v>20.0</v>
      </c>
      <c r="C7" s="6">
        <v>20.0</v>
      </c>
      <c r="D7" s="4" t="s">
        <v>6</v>
      </c>
      <c r="E7" s="17">
        <f t="shared" si="1"/>
        <v>0</v>
      </c>
      <c r="F7" s="5">
        <f t="shared" si="2"/>
        <v>0</v>
      </c>
      <c r="G7" s="5">
        <f>VLOOKUP(A7,'Матрица поставщиков'!A1:E55,5,0) * B7</f>
        <v>5.68</v>
      </c>
      <c r="H7" s="59">
        <f t="shared" si="3"/>
        <v>0.0515839926</v>
      </c>
      <c r="I7" s="81"/>
      <c r="K7" s="139"/>
      <c r="L7" s="161"/>
    </row>
    <row r="8">
      <c r="A8" s="44" t="s">
        <v>227</v>
      </c>
      <c r="B8" s="4">
        <f t="shared" ref="B8:C8" si="4">SUM(B4:B7)</f>
        <v>570</v>
      </c>
      <c r="C8" s="6">
        <f t="shared" si="4"/>
        <v>570</v>
      </c>
      <c r="D8" s="82" t="s">
        <v>275</v>
      </c>
      <c r="E8" s="17">
        <f t="shared" si="1"/>
        <v>0</v>
      </c>
      <c r="F8" s="82">
        <f t="shared" si="2"/>
        <v>0</v>
      </c>
      <c r="G8" s="60">
        <f t="shared" ref="G8:H8" si="5">SUM(G4:G7)</f>
        <v>110.1116783</v>
      </c>
      <c r="H8" s="137">
        <f t="shared" si="5"/>
        <v>1</v>
      </c>
      <c r="I8" s="160">
        <f>B8-E8</f>
        <v>570</v>
      </c>
    </row>
    <row r="9">
      <c r="E9" s="42"/>
      <c r="F9" s="40"/>
      <c r="G9" s="42"/>
      <c r="H9" s="42"/>
    </row>
    <row r="10">
      <c r="A10" s="63" t="s">
        <v>238</v>
      </c>
    </row>
    <row r="11">
      <c r="A11" s="64"/>
      <c r="H11" s="138"/>
      <c r="I11" s="138"/>
      <c r="J11" s="138"/>
      <c r="K11" s="138"/>
      <c r="L11" s="138"/>
      <c r="M11" s="138"/>
      <c r="N11" s="138"/>
      <c r="O11" s="138"/>
      <c r="P11" s="138"/>
      <c r="Q11" s="138"/>
      <c r="R11" s="138"/>
      <c r="S11" s="138"/>
      <c r="T11" s="138"/>
      <c r="U11" s="138"/>
      <c r="V11" s="138"/>
      <c r="W11" s="138"/>
      <c r="X11" s="138"/>
      <c r="Y11" s="138"/>
    </row>
    <row r="12">
      <c r="E12" s="42"/>
      <c r="F12" s="40"/>
      <c r="G12" s="42"/>
      <c r="H12" s="42"/>
    </row>
    <row r="13">
      <c r="E13" s="42"/>
      <c r="F13" s="40"/>
      <c r="G13" s="42"/>
      <c r="H13" s="42"/>
    </row>
    <row r="14">
      <c r="E14" s="42"/>
      <c r="F14" s="40"/>
      <c r="G14" s="42"/>
      <c r="H14" s="42"/>
    </row>
    <row r="15">
      <c r="B15" s="6" t="s">
        <v>443</v>
      </c>
      <c r="C15" s="37">
        <f>G8/I8</f>
        <v>0.193178383</v>
      </c>
      <c r="E15" s="42"/>
      <c r="F15" s="40"/>
      <c r="G15" s="42"/>
      <c r="H15" s="42"/>
    </row>
    <row r="16">
      <c r="B16" s="6">
        <v>50.0</v>
      </c>
      <c r="C16" s="37">
        <f>B16*C15</f>
        <v>9.658919151</v>
      </c>
      <c r="E16" s="42"/>
      <c r="F16" s="40"/>
      <c r="G16" s="42"/>
      <c r="H16" s="42"/>
    </row>
    <row r="17">
      <c r="B17" s="6"/>
      <c r="E17" s="42"/>
      <c r="F17" s="40"/>
      <c r="G17" s="42"/>
      <c r="H17" s="42"/>
    </row>
    <row r="18" ht="15.75" customHeight="1">
      <c r="B18" s="6"/>
      <c r="E18" s="42"/>
      <c r="F18" s="40"/>
      <c r="G18" s="42"/>
      <c r="H18" s="42"/>
    </row>
    <row r="19" ht="15.75" customHeight="1">
      <c r="B19" s="6"/>
      <c r="E19" s="42"/>
      <c r="F19" s="40"/>
      <c r="G19" s="42"/>
      <c r="H19" s="42"/>
    </row>
    <row r="20" ht="15.75" customHeight="1">
      <c r="B20" s="6"/>
      <c r="E20" s="42"/>
      <c r="F20" s="40"/>
      <c r="G20" s="42"/>
      <c r="H20" s="42"/>
    </row>
    <row r="21" ht="15.75" customHeight="1">
      <c r="B21" s="6"/>
      <c r="E21" s="42"/>
      <c r="F21" s="40"/>
      <c r="G21" s="42"/>
      <c r="H21" s="42"/>
    </row>
    <row r="22" ht="15.75" customHeight="1">
      <c r="B22" s="4"/>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row r="997" ht="15.75" customHeight="1">
      <c r="E997" s="42"/>
      <c r="F997" s="40"/>
      <c r="G997" s="42"/>
      <c r="H997" s="42"/>
    </row>
  </sheetData>
  <mergeCells count="5">
    <mergeCell ref="A1:A2"/>
    <mergeCell ref="B1:I2"/>
    <mergeCell ref="I4:I7"/>
    <mergeCell ref="A10:I10"/>
    <mergeCell ref="A11:G11"/>
  </mergeCells>
  <conditionalFormatting sqref="H4:H7">
    <cfRule type="colorScale" priority="1">
      <colorScale>
        <cfvo type="min"/>
        <cfvo type="max"/>
        <color rgb="FFFFFFFF"/>
        <color rgb="FFE67C73"/>
      </colorScale>
    </cfRule>
  </conditionalFormatting>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366</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179</v>
      </c>
      <c r="B4" s="6">
        <v>410.0</v>
      </c>
      <c r="C4" s="6">
        <v>330.0</v>
      </c>
      <c r="D4" s="4" t="s">
        <v>6</v>
      </c>
      <c r="E4" s="17">
        <f t="shared" ref="E4:E5" si="2">B4-C4</f>
        <v>80</v>
      </c>
      <c r="F4" s="5">
        <f t="shared" ref="F4:F5" si="3">E4/B4*100</f>
        <v>19.51219512</v>
      </c>
      <c r="G4" s="5">
        <f>VLOOKUP(A4,'Матрица поставщиков'!A1:E530,5,0) * B4</f>
        <v>97.99</v>
      </c>
      <c r="H4" s="59">
        <f>G4/$G$5</f>
        <v>1</v>
      </c>
      <c r="I4" s="80"/>
      <c r="K4" s="17">
        <v>100.0</v>
      </c>
      <c r="L4" s="131">
        <f>G5/I5*K4</f>
        <v>29.69393939</v>
      </c>
    </row>
    <row r="5">
      <c r="A5" s="44" t="s">
        <v>227</v>
      </c>
      <c r="B5" s="4">
        <f t="shared" ref="B5:C5" si="1">SUM(B4)</f>
        <v>410</v>
      </c>
      <c r="C5" s="6">
        <f t="shared" si="1"/>
        <v>330</v>
      </c>
      <c r="D5" s="82" t="s">
        <v>275</v>
      </c>
      <c r="E5" s="17">
        <f t="shared" si="2"/>
        <v>80</v>
      </c>
      <c r="F5" s="82">
        <f t="shared" si="3"/>
        <v>19.51219512</v>
      </c>
      <c r="G5" s="60">
        <f t="shared" ref="G5:H5" si="4">SUM(G4)</f>
        <v>97.99</v>
      </c>
      <c r="H5" s="137">
        <f t="shared" si="4"/>
        <v>1</v>
      </c>
      <c r="I5" s="160">
        <f>B5-E5</f>
        <v>330</v>
      </c>
    </row>
    <row r="6">
      <c r="E6" s="42"/>
      <c r="F6" s="40"/>
      <c r="G6" s="42"/>
      <c r="H6" s="42"/>
    </row>
    <row r="7">
      <c r="A7" s="63" t="s">
        <v>238</v>
      </c>
    </row>
    <row r="8">
      <c r="A8" s="64" t="s">
        <v>444</v>
      </c>
      <c r="H8" s="138"/>
      <c r="I8" s="138"/>
      <c r="J8" s="138"/>
      <c r="K8" s="138"/>
      <c r="L8" s="138"/>
      <c r="M8" s="138"/>
      <c r="N8" s="138"/>
      <c r="O8" s="138"/>
      <c r="P8" s="138"/>
      <c r="Q8" s="138"/>
      <c r="R8" s="138"/>
      <c r="S8" s="138"/>
      <c r="T8" s="138"/>
      <c r="U8" s="138"/>
      <c r="V8" s="138"/>
      <c r="W8" s="138"/>
      <c r="X8" s="138"/>
      <c r="Y8" s="138"/>
    </row>
    <row r="9">
      <c r="E9" s="42"/>
      <c r="F9" s="40"/>
      <c r="G9" s="42"/>
      <c r="H9" s="42"/>
    </row>
    <row r="10">
      <c r="E10" s="42"/>
      <c r="F10" s="40"/>
      <c r="G10" s="42"/>
      <c r="H10" s="42"/>
    </row>
    <row r="11">
      <c r="E11" s="42"/>
      <c r="F11" s="40"/>
      <c r="G11" s="42"/>
      <c r="H11" s="42"/>
    </row>
    <row r="12">
      <c r="B12" s="6" t="s">
        <v>443</v>
      </c>
      <c r="C12" s="37">
        <f>G5/I5</f>
        <v>0.2969393939</v>
      </c>
      <c r="E12" s="42"/>
      <c r="F12" s="40"/>
      <c r="G12" s="42"/>
      <c r="H12" s="42"/>
    </row>
    <row r="13">
      <c r="B13" s="6">
        <v>50.0</v>
      </c>
      <c r="C13" s="37">
        <f>B13*C12</f>
        <v>14.8469697</v>
      </c>
      <c r="E13" s="42"/>
      <c r="F13" s="40"/>
      <c r="G13" s="42"/>
      <c r="H13" s="42"/>
    </row>
    <row r="14">
      <c r="B14" s="6"/>
      <c r="E14" s="42"/>
      <c r="F14" s="40"/>
      <c r="G14" s="42"/>
      <c r="H14" s="42"/>
    </row>
    <row r="15" ht="15.75" customHeight="1">
      <c r="B15" s="6"/>
      <c r="E15" s="42"/>
      <c r="F15" s="40"/>
      <c r="G15" s="42"/>
      <c r="H15" s="42"/>
    </row>
    <row r="16" ht="15.75" customHeight="1">
      <c r="B16" s="6"/>
      <c r="E16" s="42"/>
      <c r="F16" s="40"/>
      <c r="G16" s="42"/>
      <c r="H16" s="42"/>
    </row>
    <row r="17" ht="15.75" customHeight="1">
      <c r="B17" s="6"/>
      <c r="E17" s="42"/>
      <c r="F17" s="40"/>
      <c r="G17" s="42"/>
      <c r="H17" s="42"/>
    </row>
    <row r="18" ht="15.75" customHeight="1">
      <c r="B18" s="6"/>
      <c r="E18" s="42"/>
      <c r="F18" s="40"/>
      <c r="G18" s="42"/>
      <c r="H18" s="42"/>
    </row>
    <row r="19" ht="15.75" customHeight="1">
      <c r="B19" s="4"/>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sheetData>
  <mergeCells count="4">
    <mergeCell ref="A1:A2"/>
    <mergeCell ref="B1:I2"/>
    <mergeCell ref="A7:I7"/>
    <mergeCell ref="A8:G8"/>
  </mergeCells>
  <conditionalFormatting sqref="H4">
    <cfRule type="colorScale" priority="1">
      <colorScale>
        <cfvo type="min"/>
        <cfvo type="max"/>
        <color rgb="FFFFFFFF"/>
        <color rgb="FFE67C73"/>
      </colorScale>
    </cfRule>
  </conditionalFormatting>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445</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191</v>
      </c>
      <c r="B4" s="6">
        <v>100.0</v>
      </c>
      <c r="C4" s="6">
        <v>50.0</v>
      </c>
      <c r="D4" s="4" t="s">
        <v>6</v>
      </c>
      <c r="E4" s="17">
        <f t="shared" ref="E4:E7" si="1">B4-C4</f>
        <v>50</v>
      </c>
      <c r="F4" s="5">
        <f t="shared" ref="F4:F7" si="2">E4/B4*100</f>
        <v>50</v>
      </c>
      <c r="G4" s="5">
        <f>VLOOKUP(A4,'Матрица поставщиков'!A1:E530,5,0) * B4</f>
        <v>55</v>
      </c>
      <c r="H4" s="59">
        <f t="shared" ref="H4:H6" si="3">G4/$G$7</f>
        <v>0.9890485353</v>
      </c>
      <c r="I4" s="80"/>
      <c r="K4" s="17">
        <v>100.0</v>
      </c>
      <c r="L4" s="131">
        <f>G7/I7*K4</f>
        <v>101.1072727</v>
      </c>
    </row>
    <row r="5">
      <c r="A5" s="11" t="s">
        <v>13</v>
      </c>
      <c r="B5" s="6">
        <v>5.0</v>
      </c>
      <c r="C5" s="6">
        <v>5.0</v>
      </c>
      <c r="D5" s="4" t="s">
        <v>6</v>
      </c>
      <c r="E5" s="17">
        <f t="shared" si="1"/>
        <v>0</v>
      </c>
      <c r="F5" s="5">
        <f t="shared" si="2"/>
        <v>0</v>
      </c>
      <c r="G5" s="5">
        <f>VLOOKUP(A5,'Матрица поставщиков'!A1:E545,5,0) * B5</f>
        <v>0.609</v>
      </c>
      <c r="H5" s="59">
        <f t="shared" si="3"/>
        <v>0.01095146469</v>
      </c>
      <c r="I5" s="81"/>
      <c r="K5" s="17">
        <v>1.0</v>
      </c>
      <c r="L5" s="131">
        <f>G7/I7*K5</f>
        <v>1.011072727</v>
      </c>
    </row>
    <row r="6">
      <c r="A6" s="11" t="s">
        <v>17</v>
      </c>
      <c r="B6" s="6">
        <v>2.0</v>
      </c>
      <c r="C6" s="6">
        <v>2.0</v>
      </c>
      <c r="D6" s="4" t="s">
        <v>6</v>
      </c>
      <c r="E6" s="17">
        <f t="shared" si="1"/>
        <v>0</v>
      </c>
      <c r="F6" s="5">
        <f t="shared" si="2"/>
        <v>0</v>
      </c>
      <c r="G6" s="5">
        <f>VLOOKUP(A6,'Матрица поставщиков'!A2:E546,5,0) * B6</f>
        <v>0.084</v>
      </c>
      <c r="H6" s="59">
        <f t="shared" si="3"/>
        <v>0.001510546854</v>
      </c>
      <c r="I6" s="80"/>
      <c r="K6" s="139"/>
      <c r="L6" s="161"/>
    </row>
    <row r="7">
      <c r="A7" s="44" t="s">
        <v>227</v>
      </c>
      <c r="B7" s="4">
        <f t="shared" ref="B7:C7" si="4">SUM(B4:B5)</f>
        <v>105</v>
      </c>
      <c r="C7" s="6">
        <f t="shared" si="4"/>
        <v>55</v>
      </c>
      <c r="D7" s="82" t="s">
        <v>275</v>
      </c>
      <c r="E7" s="17">
        <f t="shared" si="1"/>
        <v>50</v>
      </c>
      <c r="F7" s="82">
        <f t="shared" si="2"/>
        <v>47.61904762</v>
      </c>
      <c r="G7" s="60">
        <f t="shared" ref="G7:H7" si="5">SUM(G4:G5)</f>
        <v>55.609</v>
      </c>
      <c r="H7" s="137">
        <f t="shared" si="5"/>
        <v>1</v>
      </c>
      <c r="I7" s="160">
        <f>B7-E7</f>
        <v>55</v>
      </c>
    </row>
    <row r="8">
      <c r="E8" s="42"/>
      <c r="F8" s="40"/>
      <c r="G8" s="42"/>
      <c r="H8" s="42"/>
    </row>
    <row r="9">
      <c r="A9" s="63" t="s">
        <v>238</v>
      </c>
    </row>
    <row r="10">
      <c r="A10" s="64" t="s">
        <v>446</v>
      </c>
      <c r="H10" s="138"/>
      <c r="I10" s="138"/>
      <c r="J10" s="138"/>
      <c r="K10" s="138"/>
      <c r="L10" s="138"/>
      <c r="M10" s="138"/>
      <c r="N10" s="138"/>
      <c r="O10" s="138"/>
      <c r="P10" s="138"/>
      <c r="Q10" s="138"/>
      <c r="R10" s="138"/>
      <c r="S10" s="138"/>
      <c r="T10" s="138"/>
      <c r="U10" s="138"/>
      <c r="V10" s="138"/>
      <c r="W10" s="138"/>
      <c r="X10" s="138"/>
      <c r="Y10" s="138"/>
    </row>
    <row r="11">
      <c r="E11" s="42"/>
      <c r="F11" s="40"/>
      <c r="G11" s="42"/>
      <c r="H11" s="42"/>
    </row>
    <row r="12">
      <c r="E12" s="42"/>
      <c r="F12" s="40"/>
      <c r="G12" s="42"/>
      <c r="H12" s="42"/>
    </row>
    <row r="13">
      <c r="E13" s="42"/>
      <c r="F13" s="40"/>
      <c r="G13" s="42"/>
      <c r="H13" s="42"/>
    </row>
    <row r="14">
      <c r="B14" s="6" t="s">
        <v>443</v>
      </c>
      <c r="C14" s="37">
        <f>G7/I7</f>
        <v>1.011072727</v>
      </c>
      <c r="E14" s="42"/>
      <c r="F14" s="40"/>
      <c r="G14" s="42"/>
      <c r="H14" s="42"/>
    </row>
    <row r="15">
      <c r="B15" s="6">
        <v>50.0</v>
      </c>
      <c r="C15" s="37">
        <f>B15*C14</f>
        <v>50.55363636</v>
      </c>
      <c r="E15" s="42"/>
      <c r="F15" s="40"/>
      <c r="G15" s="42"/>
      <c r="H15" s="42"/>
    </row>
    <row r="16">
      <c r="B16" s="6"/>
      <c r="E16" s="42"/>
      <c r="F16" s="40"/>
      <c r="G16" s="42"/>
      <c r="H16" s="42"/>
    </row>
    <row r="17" ht="15.75" customHeight="1">
      <c r="B17" s="6"/>
      <c r="E17" s="42"/>
      <c r="F17" s="40"/>
      <c r="G17" s="42"/>
      <c r="H17" s="42"/>
    </row>
    <row r="18" ht="15.75" customHeight="1">
      <c r="B18" s="6"/>
      <c r="E18" s="42"/>
      <c r="F18" s="40"/>
      <c r="G18" s="42"/>
      <c r="H18" s="42"/>
    </row>
    <row r="19" ht="15.75" customHeight="1">
      <c r="B19" s="6"/>
      <c r="E19" s="42"/>
      <c r="F19" s="40"/>
      <c r="G19" s="42"/>
      <c r="H19" s="42"/>
    </row>
    <row r="20" ht="15.75" customHeight="1">
      <c r="B20" s="6"/>
      <c r="E20" s="42"/>
      <c r="F20" s="40"/>
      <c r="G20" s="42"/>
      <c r="H20" s="42"/>
    </row>
    <row r="21" ht="15.75" customHeight="1">
      <c r="B21" s="4"/>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row r="996" ht="15.75" customHeight="1">
      <c r="E996" s="42"/>
      <c r="F996" s="40"/>
      <c r="G996" s="42"/>
      <c r="H996" s="42"/>
    </row>
  </sheetData>
  <mergeCells count="5">
    <mergeCell ref="A1:A2"/>
    <mergeCell ref="B1:I2"/>
    <mergeCell ref="I4:I5"/>
    <mergeCell ref="A9:I9"/>
    <mergeCell ref="A10:G10"/>
  </mergeCells>
  <conditionalFormatting sqref="H4:H6">
    <cfRule type="colorScale" priority="1">
      <colorScale>
        <cfvo type="min"/>
        <cfvo type="max"/>
        <color rgb="FFFFFFFF"/>
        <color rgb="FFE67C73"/>
      </colorScale>
    </cfRule>
  </conditionalFormatting>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143" t="s">
        <v>368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6" t="s">
        <v>196</v>
      </c>
      <c r="B4" s="6">
        <v>100.0</v>
      </c>
      <c r="C4" s="6">
        <v>88.0</v>
      </c>
      <c r="D4" s="4" t="s">
        <v>6</v>
      </c>
      <c r="E4" s="17">
        <f t="shared" ref="E4:E5" si="2">B4-C4</f>
        <v>12</v>
      </c>
      <c r="F4" s="5">
        <f t="shared" ref="F4:F5" si="3">E4/B4*100</f>
        <v>12</v>
      </c>
      <c r="G4" s="5">
        <f>VLOOKUP(A4,'Матрица поставщиков'!A1:E530,5,0) * B4</f>
        <v>20.5</v>
      </c>
      <c r="H4" s="59">
        <f>G4/$G$5</f>
        <v>1</v>
      </c>
      <c r="I4" s="80"/>
      <c r="K4" s="17">
        <v>100.0</v>
      </c>
      <c r="L4" s="131">
        <f>G5/I5*K4</f>
        <v>23.29545455</v>
      </c>
    </row>
    <row r="5">
      <c r="A5" s="44" t="s">
        <v>227</v>
      </c>
      <c r="B5" s="4">
        <f t="shared" ref="B5:C5" si="1">SUM(B4)</f>
        <v>100</v>
      </c>
      <c r="C5" s="6">
        <f t="shared" si="1"/>
        <v>88</v>
      </c>
      <c r="D5" s="82" t="s">
        <v>275</v>
      </c>
      <c r="E5" s="17">
        <f t="shared" si="2"/>
        <v>12</v>
      </c>
      <c r="F5" s="82">
        <f t="shared" si="3"/>
        <v>12</v>
      </c>
      <c r="G5" s="60">
        <f t="shared" ref="G5:H5" si="4">SUM(G4)</f>
        <v>20.5</v>
      </c>
      <c r="H5" s="137">
        <f t="shared" si="4"/>
        <v>1</v>
      </c>
      <c r="I5" s="160">
        <f>B5-E5</f>
        <v>88</v>
      </c>
    </row>
    <row r="6">
      <c r="E6" s="42"/>
      <c r="F6" s="40"/>
      <c r="G6" s="42"/>
      <c r="H6" s="42"/>
    </row>
    <row r="7">
      <c r="A7" s="63" t="s">
        <v>238</v>
      </c>
    </row>
    <row r="8">
      <c r="A8" s="64" t="s">
        <v>447</v>
      </c>
      <c r="H8" s="138"/>
      <c r="I8" s="138"/>
      <c r="J8" s="138"/>
      <c r="K8" s="138"/>
      <c r="L8" s="138"/>
      <c r="M8" s="138"/>
      <c r="N8" s="138"/>
      <c r="O8" s="138"/>
      <c r="P8" s="138"/>
      <c r="Q8" s="138"/>
      <c r="R8" s="138"/>
      <c r="S8" s="138"/>
      <c r="T8" s="138"/>
      <c r="U8" s="138"/>
      <c r="V8" s="138"/>
      <c r="W8" s="138"/>
      <c r="X8" s="138"/>
      <c r="Y8" s="138"/>
    </row>
    <row r="9">
      <c r="E9" s="42"/>
      <c r="F9" s="40"/>
      <c r="G9" s="42"/>
      <c r="H9" s="42"/>
    </row>
    <row r="10">
      <c r="E10" s="42"/>
      <c r="F10" s="40"/>
      <c r="G10" s="42"/>
      <c r="H10" s="42"/>
    </row>
    <row r="11">
      <c r="E11" s="42"/>
      <c r="F11" s="40"/>
      <c r="G11" s="42"/>
      <c r="H11" s="42"/>
    </row>
    <row r="12">
      <c r="B12" s="6" t="s">
        <v>443</v>
      </c>
      <c r="C12" s="37">
        <f>G5/I5</f>
        <v>0.2329545455</v>
      </c>
      <c r="E12" s="42"/>
      <c r="F12" s="40"/>
      <c r="G12" s="42"/>
      <c r="H12" s="42"/>
    </row>
    <row r="13">
      <c r="B13" s="6">
        <v>50.0</v>
      </c>
      <c r="C13" s="37">
        <f>B13*C12</f>
        <v>11.64772727</v>
      </c>
      <c r="E13" s="42"/>
      <c r="F13" s="40"/>
      <c r="G13" s="42"/>
      <c r="H13" s="42"/>
    </row>
    <row r="14">
      <c r="B14" s="6"/>
      <c r="E14" s="42"/>
      <c r="F14" s="40"/>
      <c r="G14" s="42"/>
      <c r="H14" s="42"/>
    </row>
    <row r="15" ht="15.75" customHeight="1">
      <c r="B15" s="6"/>
      <c r="E15" s="42"/>
      <c r="F15" s="40"/>
      <c r="G15" s="42"/>
      <c r="H15" s="42"/>
    </row>
    <row r="16" ht="15.75" customHeight="1">
      <c r="B16" s="6"/>
      <c r="E16" s="42"/>
      <c r="F16" s="40"/>
      <c r="G16" s="42"/>
      <c r="H16" s="42"/>
    </row>
    <row r="17" ht="15.75" customHeight="1">
      <c r="B17" s="6"/>
      <c r="E17" s="42"/>
      <c r="F17" s="40"/>
      <c r="G17" s="42"/>
      <c r="H17" s="42"/>
    </row>
    <row r="18" ht="15.75" customHeight="1">
      <c r="B18" s="6"/>
      <c r="E18" s="42"/>
      <c r="F18" s="40"/>
      <c r="G18" s="42"/>
      <c r="H18" s="42"/>
    </row>
    <row r="19" ht="15.75" customHeight="1">
      <c r="B19" s="4"/>
      <c r="E19" s="42"/>
      <c r="F19" s="40"/>
      <c r="G19" s="42"/>
      <c r="H19" s="42"/>
    </row>
    <row r="20" ht="15.75" customHeight="1">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sheetData>
  <mergeCells count="4">
    <mergeCell ref="A1:A2"/>
    <mergeCell ref="B1:I2"/>
    <mergeCell ref="A7:I7"/>
    <mergeCell ref="A8:G8"/>
  </mergeCells>
  <conditionalFormatting sqref="H4">
    <cfRule type="colorScale" priority="1">
      <colorScale>
        <cfvo type="min"/>
        <cfvo type="max"/>
        <color rgb="FFFFFFFF"/>
        <color rgb="FFE67C73"/>
      </colorScale>
    </cfRule>
  </conditionalFormatting>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79.14"/>
    <col customWidth="1" min="2" max="2" width="20.43"/>
    <col customWidth="1" min="3" max="3" width="15.14"/>
    <col customWidth="1" min="4" max="4" width="11.0"/>
    <col customWidth="1" min="5" max="5" width="17.14"/>
    <col customWidth="1" min="6" max="6" width="12.57"/>
    <col customWidth="1" min="7" max="7" width="11.0"/>
    <col customWidth="1" min="8" max="8" width="8.71"/>
    <col customWidth="1" min="9" max="9" width="10.57"/>
    <col customWidth="1" min="10" max="28" width="8.71"/>
  </cols>
  <sheetData>
    <row r="1">
      <c r="A1" s="101" t="s">
        <v>441</v>
      </c>
      <c r="B1" s="49" t="s">
        <v>448</v>
      </c>
      <c r="C1" s="50"/>
      <c r="D1" s="50"/>
      <c r="E1" s="50"/>
      <c r="F1" s="50"/>
      <c r="G1" s="50"/>
      <c r="H1" s="50"/>
      <c r="I1" s="51"/>
    </row>
    <row r="2">
      <c r="A2" s="52"/>
      <c r="B2" s="53"/>
      <c r="C2" s="54"/>
      <c r="D2" s="54"/>
      <c r="E2" s="54"/>
      <c r="F2" s="54"/>
      <c r="G2" s="54"/>
      <c r="H2" s="54"/>
      <c r="I2" s="55"/>
    </row>
    <row r="3">
      <c r="A3" s="56" t="s">
        <v>0</v>
      </c>
      <c r="B3" s="56" t="s">
        <v>230</v>
      </c>
      <c r="C3" s="56" t="s">
        <v>231</v>
      </c>
      <c r="D3" s="56" t="s">
        <v>1</v>
      </c>
      <c r="E3" s="133" t="s">
        <v>296</v>
      </c>
      <c r="F3" s="134" t="s">
        <v>233</v>
      </c>
      <c r="G3" s="57" t="s">
        <v>234</v>
      </c>
      <c r="H3" s="57" t="s">
        <v>235</v>
      </c>
      <c r="I3" s="57" t="s">
        <v>402</v>
      </c>
      <c r="K3" s="66" t="s">
        <v>208</v>
      </c>
      <c r="L3" s="66" t="s">
        <v>240</v>
      </c>
    </row>
    <row r="4">
      <c r="A4" s="11" t="s">
        <v>184</v>
      </c>
      <c r="B4" s="6">
        <v>500.0</v>
      </c>
      <c r="C4" s="6">
        <v>500.0</v>
      </c>
      <c r="D4" s="4" t="s">
        <v>6</v>
      </c>
      <c r="E4" s="17">
        <f t="shared" ref="E4:E6" si="1">B4-C4</f>
        <v>0</v>
      </c>
      <c r="F4" s="5">
        <f t="shared" ref="F4:F6" si="2">E4/B4*100</f>
        <v>0</v>
      </c>
      <c r="G4" s="5">
        <f>VLOOKUP(A4,'Матрица поставщиков'!A1:E530,5,0) * B4</f>
        <v>115.3846154</v>
      </c>
      <c r="H4" s="59">
        <f t="shared" ref="H4:H5" si="3">G4/$G$6</f>
        <v>0.7194244604</v>
      </c>
      <c r="I4" s="80"/>
      <c r="K4" s="17">
        <v>100.0</v>
      </c>
      <c r="L4" s="131">
        <f>G6/I6*K4</f>
        <v>29.16083916</v>
      </c>
    </row>
    <row r="5">
      <c r="A5" s="11" t="s">
        <v>178</v>
      </c>
      <c r="B5" s="6">
        <v>50.0</v>
      </c>
      <c r="C5" s="6">
        <v>50.0</v>
      </c>
      <c r="D5" s="4" t="s">
        <v>6</v>
      </c>
      <c r="E5" s="17">
        <f t="shared" si="1"/>
        <v>0</v>
      </c>
      <c r="F5" s="5">
        <f t="shared" si="2"/>
        <v>0</v>
      </c>
      <c r="G5" s="5">
        <f>VLOOKUP(A5,'Матрица поставщиков'!A1:E545,5,0) * B5</f>
        <v>45</v>
      </c>
      <c r="H5" s="59">
        <f t="shared" si="3"/>
        <v>0.2805755396</v>
      </c>
      <c r="I5" s="81"/>
      <c r="K5" s="17">
        <v>1.0</v>
      </c>
      <c r="L5" s="131">
        <f>G6/I6*K5</f>
        <v>0.2916083916</v>
      </c>
    </row>
    <row r="6">
      <c r="A6" s="44" t="s">
        <v>227</v>
      </c>
      <c r="B6" s="4">
        <f t="shared" ref="B6:C6" si="4">SUM(B4:B5)</f>
        <v>550</v>
      </c>
      <c r="C6" s="6">
        <f t="shared" si="4"/>
        <v>550</v>
      </c>
      <c r="D6" s="82" t="s">
        <v>275</v>
      </c>
      <c r="E6" s="17">
        <f t="shared" si="1"/>
        <v>0</v>
      </c>
      <c r="F6" s="82">
        <f t="shared" si="2"/>
        <v>0</v>
      </c>
      <c r="G6" s="60">
        <f t="shared" ref="G6:H6" si="5">sum(G4:G5)</f>
        <v>160.3846154</v>
      </c>
      <c r="H6" s="137">
        <f t="shared" si="5"/>
        <v>1</v>
      </c>
      <c r="I6" s="162">
        <f>C6</f>
        <v>550</v>
      </c>
    </row>
    <row r="7">
      <c r="E7" s="42"/>
      <c r="F7" s="40"/>
      <c r="G7" s="42"/>
      <c r="H7" s="42"/>
    </row>
    <row r="8">
      <c r="A8" s="63" t="s">
        <v>238</v>
      </c>
    </row>
    <row r="9">
      <c r="A9" s="64" t="s">
        <v>449</v>
      </c>
      <c r="H9" s="138"/>
      <c r="I9" s="138"/>
      <c r="J9" s="138"/>
      <c r="K9" s="138"/>
      <c r="L9" s="138"/>
      <c r="M9" s="138"/>
      <c r="N9" s="138"/>
      <c r="O9" s="138"/>
      <c r="P9" s="138"/>
      <c r="Q9" s="138"/>
      <c r="R9" s="138"/>
      <c r="S9" s="138"/>
      <c r="T9" s="138"/>
      <c r="U9" s="138"/>
      <c r="V9" s="138"/>
      <c r="W9" s="138"/>
      <c r="X9" s="138"/>
      <c r="Y9" s="138"/>
    </row>
    <row r="10">
      <c r="E10" s="42"/>
      <c r="F10" s="40"/>
      <c r="G10" s="42"/>
      <c r="H10" s="42"/>
    </row>
    <row r="11">
      <c r="E11" s="42"/>
      <c r="F11" s="40"/>
      <c r="G11" s="42"/>
      <c r="H11" s="42"/>
    </row>
    <row r="12">
      <c r="E12" s="42"/>
      <c r="F12" s="40"/>
      <c r="G12" s="42"/>
      <c r="H12" s="42"/>
    </row>
    <row r="13">
      <c r="B13" s="6" t="s">
        <v>443</v>
      </c>
      <c r="C13" s="37">
        <f>G6/I6</f>
        <v>0.2916083916</v>
      </c>
      <c r="E13" s="42"/>
      <c r="F13" s="40"/>
      <c r="G13" s="42"/>
      <c r="H13" s="42"/>
    </row>
    <row r="14">
      <c r="B14" s="6">
        <v>50.0</v>
      </c>
      <c r="C14" s="37">
        <f>B14*C13</f>
        <v>14.58041958</v>
      </c>
      <c r="E14" s="42"/>
      <c r="F14" s="40"/>
      <c r="G14" s="42"/>
      <c r="H14" s="42"/>
    </row>
    <row r="15">
      <c r="B15" s="6"/>
      <c r="E15" s="42"/>
      <c r="F15" s="40"/>
      <c r="G15" s="42"/>
      <c r="H15" s="42"/>
    </row>
    <row r="16" ht="15.75" customHeight="1">
      <c r="B16" s="6"/>
      <c r="E16" s="42"/>
      <c r="F16" s="40"/>
      <c r="G16" s="42"/>
      <c r="H16" s="42"/>
    </row>
    <row r="17" ht="15.75" customHeight="1">
      <c r="B17" s="6"/>
      <c r="E17" s="42"/>
      <c r="F17" s="40"/>
      <c r="G17" s="42"/>
      <c r="H17" s="42"/>
    </row>
    <row r="18" ht="15.75" customHeight="1">
      <c r="B18" s="6"/>
      <c r="E18" s="42"/>
      <c r="F18" s="40"/>
      <c r="G18" s="42"/>
      <c r="H18" s="42"/>
    </row>
    <row r="19" ht="15.75" customHeight="1">
      <c r="B19" s="6"/>
      <c r="E19" s="42"/>
      <c r="F19" s="40"/>
      <c r="G19" s="42"/>
      <c r="H19" s="42"/>
    </row>
    <row r="20" ht="15.75" customHeight="1">
      <c r="B20" s="4"/>
      <c r="E20" s="42"/>
      <c r="F20" s="40"/>
      <c r="G20" s="42"/>
      <c r="H20" s="42"/>
    </row>
    <row r="21" ht="15.75" customHeight="1">
      <c r="E21" s="42"/>
      <c r="F21" s="40"/>
      <c r="G21" s="42"/>
      <c r="H21" s="42"/>
    </row>
    <row r="22" ht="15.75" customHeight="1">
      <c r="E22" s="42"/>
      <c r="F22" s="40"/>
      <c r="G22" s="42"/>
      <c r="H22" s="42"/>
    </row>
    <row r="23" ht="15.75" customHeight="1">
      <c r="E23" s="42"/>
      <c r="F23" s="40"/>
      <c r="G23" s="42"/>
      <c r="H23" s="42"/>
    </row>
    <row r="24" ht="15.75" customHeight="1">
      <c r="E24" s="42"/>
      <c r="F24" s="40"/>
      <c r="G24" s="42"/>
      <c r="H24" s="42"/>
    </row>
    <row r="25" ht="15.75" customHeight="1">
      <c r="E25" s="42"/>
      <c r="F25" s="40"/>
      <c r="G25" s="42"/>
      <c r="H25" s="42"/>
    </row>
    <row r="26" ht="15.75" customHeight="1">
      <c r="E26" s="42"/>
      <c r="F26" s="40"/>
      <c r="G26" s="42"/>
      <c r="H26" s="42"/>
    </row>
    <row r="27" ht="15.75" customHeight="1">
      <c r="E27" s="42"/>
      <c r="F27" s="40"/>
      <c r="G27" s="42"/>
      <c r="H27" s="42"/>
    </row>
    <row r="28" ht="15.75" customHeight="1">
      <c r="E28" s="42"/>
      <c r="F28" s="40"/>
      <c r="G28" s="42"/>
      <c r="H28" s="42"/>
    </row>
    <row r="29" ht="15.75" customHeight="1">
      <c r="E29" s="42"/>
      <c r="F29" s="40"/>
      <c r="G29" s="42"/>
      <c r="H29" s="42"/>
    </row>
    <row r="30" ht="15.75" customHeight="1">
      <c r="E30" s="42"/>
      <c r="F30" s="40"/>
      <c r="G30" s="42"/>
      <c r="H30" s="42"/>
    </row>
    <row r="31" ht="15.75" customHeight="1">
      <c r="E31" s="42"/>
      <c r="F31" s="40"/>
      <c r="G31" s="42"/>
      <c r="H31" s="42"/>
    </row>
    <row r="32" ht="15.75" customHeight="1">
      <c r="E32" s="42"/>
      <c r="F32" s="40"/>
      <c r="G32" s="42"/>
      <c r="H32" s="42"/>
    </row>
    <row r="33" ht="15.75" customHeight="1">
      <c r="E33" s="42"/>
      <c r="F33" s="40"/>
      <c r="G33" s="42"/>
      <c r="H33" s="42"/>
    </row>
    <row r="34" ht="15.75" customHeight="1">
      <c r="E34" s="42"/>
      <c r="F34" s="40"/>
      <c r="G34" s="42"/>
      <c r="H34" s="42"/>
    </row>
    <row r="35" ht="15.75" customHeight="1">
      <c r="E35" s="42"/>
      <c r="F35" s="40"/>
      <c r="G35" s="42"/>
      <c r="H35" s="42"/>
    </row>
    <row r="36" ht="15.75" customHeight="1">
      <c r="E36" s="42"/>
      <c r="F36" s="40"/>
      <c r="G36" s="42"/>
      <c r="H36" s="42"/>
    </row>
    <row r="37" ht="15.75" customHeight="1">
      <c r="E37" s="42"/>
      <c r="F37" s="40"/>
      <c r="G37" s="42"/>
      <c r="H37" s="42"/>
    </row>
    <row r="38" ht="15.75" customHeight="1">
      <c r="E38" s="42"/>
      <c r="F38" s="40"/>
      <c r="G38" s="42"/>
      <c r="H38" s="42"/>
    </row>
    <row r="39" ht="15.75" customHeight="1">
      <c r="E39" s="42"/>
      <c r="F39" s="40"/>
      <c r="G39" s="42"/>
      <c r="H39" s="42"/>
    </row>
    <row r="40" ht="15.75" customHeight="1">
      <c r="E40" s="42"/>
      <c r="F40" s="40"/>
      <c r="G40" s="42"/>
      <c r="H40" s="42"/>
    </row>
    <row r="41" ht="15.75" customHeight="1">
      <c r="E41" s="42"/>
      <c r="F41" s="40"/>
      <c r="G41" s="42"/>
      <c r="H41" s="42"/>
    </row>
    <row r="42" ht="15.75" customHeight="1">
      <c r="E42" s="42"/>
      <c r="F42" s="40"/>
      <c r="G42" s="42"/>
      <c r="H42" s="42"/>
    </row>
    <row r="43" ht="15.75" customHeight="1">
      <c r="E43" s="42"/>
      <c r="F43" s="40"/>
      <c r="G43" s="42"/>
      <c r="H43" s="42"/>
    </row>
    <row r="44" ht="15.75" customHeight="1">
      <c r="E44" s="42"/>
      <c r="F44" s="40"/>
      <c r="G44" s="42"/>
      <c r="H44" s="42"/>
    </row>
    <row r="45" ht="15.75" customHeight="1">
      <c r="E45" s="42"/>
      <c r="F45" s="40"/>
      <c r="G45" s="42"/>
      <c r="H45" s="42"/>
    </row>
    <row r="46" ht="15.75" customHeight="1">
      <c r="E46" s="42"/>
      <c r="F46" s="40"/>
      <c r="G46" s="42"/>
      <c r="H46" s="42"/>
    </row>
    <row r="47" ht="15.75" customHeight="1">
      <c r="E47" s="42"/>
      <c r="F47" s="40"/>
      <c r="G47" s="42"/>
      <c r="H47" s="42"/>
    </row>
    <row r="48" ht="15.75" customHeight="1">
      <c r="E48" s="42"/>
      <c r="F48" s="40"/>
      <c r="G48" s="42"/>
      <c r="H48" s="42"/>
    </row>
    <row r="49" ht="15.75" customHeight="1">
      <c r="E49" s="42"/>
      <c r="F49" s="40"/>
      <c r="G49" s="42"/>
      <c r="H49" s="42"/>
    </row>
    <row r="50" ht="15.75" customHeight="1">
      <c r="E50" s="42"/>
      <c r="F50" s="40"/>
      <c r="G50" s="42"/>
      <c r="H50" s="42"/>
    </row>
    <row r="51" ht="15.75" customHeight="1">
      <c r="E51" s="42"/>
      <c r="F51" s="40"/>
      <c r="G51" s="42"/>
      <c r="H51" s="42"/>
    </row>
    <row r="52" ht="15.75" customHeight="1">
      <c r="E52" s="42"/>
      <c r="F52" s="40"/>
      <c r="G52" s="42"/>
      <c r="H52" s="42"/>
    </row>
    <row r="53" ht="15.75" customHeight="1">
      <c r="E53" s="42"/>
      <c r="F53" s="40"/>
      <c r="G53" s="42"/>
      <c r="H53" s="42"/>
    </row>
    <row r="54" ht="15.75" customHeight="1">
      <c r="E54" s="42"/>
      <c r="F54" s="40"/>
      <c r="G54" s="42"/>
      <c r="H54" s="42"/>
    </row>
    <row r="55" ht="15.75" customHeight="1">
      <c r="E55" s="42"/>
      <c r="F55" s="40"/>
      <c r="G55" s="42"/>
      <c r="H55" s="42"/>
    </row>
    <row r="56" ht="15.75" customHeight="1">
      <c r="E56" s="42"/>
      <c r="F56" s="40"/>
      <c r="G56" s="42"/>
      <c r="H56" s="42"/>
    </row>
    <row r="57" ht="15.75" customHeight="1">
      <c r="E57" s="42"/>
      <c r="F57" s="40"/>
      <c r="G57" s="42"/>
      <c r="H57" s="42"/>
    </row>
    <row r="58" ht="15.75" customHeight="1">
      <c r="E58" s="42"/>
      <c r="F58" s="40"/>
      <c r="G58" s="42"/>
      <c r="H58" s="42"/>
    </row>
    <row r="59" ht="15.75" customHeight="1">
      <c r="E59" s="42"/>
      <c r="F59" s="40"/>
      <c r="G59" s="42"/>
      <c r="H59" s="42"/>
    </row>
    <row r="60" ht="15.75" customHeight="1">
      <c r="E60" s="42"/>
      <c r="F60" s="40"/>
      <c r="G60" s="42"/>
      <c r="H60" s="42"/>
    </row>
    <row r="61" ht="15.75" customHeight="1">
      <c r="E61" s="42"/>
      <c r="F61" s="40"/>
      <c r="G61" s="42"/>
      <c r="H61" s="42"/>
    </row>
    <row r="62" ht="15.75" customHeight="1">
      <c r="E62" s="42"/>
      <c r="F62" s="40"/>
      <c r="G62" s="42"/>
      <c r="H62" s="42"/>
    </row>
    <row r="63" ht="15.75" customHeight="1">
      <c r="E63" s="42"/>
      <c r="F63" s="40"/>
      <c r="G63" s="42"/>
      <c r="H63" s="42"/>
    </row>
    <row r="64" ht="15.75" customHeight="1">
      <c r="E64" s="42"/>
      <c r="F64" s="40"/>
      <c r="G64" s="42"/>
      <c r="H64" s="42"/>
    </row>
    <row r="65" ht="15.75" customHeight="1">
      <c r="E65" s="42"/>
      <c r="F65" s="40"/>
      <c r="G65" s="42"/>
      <c r="H65" s="42"/>
    </row>
    <row r="66" ht="15.75" customHeight="1">
      <c r="E66" s="42"/>
      <c r="F66" s="40"/>
      <c r="G66" s="42"/>
      <c r="H66" s="42"/>
    </row>
    <row r="67" ht="15.75" customHeight="1">
      <c r="E67" s="42"/>
      <c r="F67" s="40"/>
      <c r="G67" s="42"/>
      <c r="H67" s="42"/>
    </row>
    <row r="68" ht="15.75" customHeight="1">
      <c r="E68" s="42"/>
      <c r="F68" s="40"/>
      <c r="G68" s="42"/>
      <c r="H68" s="42"/>
    </row>
    <row r="69" ht="15.75" customHeight="1">
      <c r="E69" s="42"/>
      <c r="F69" s="40"/>
      <c r="G69" s="42"/>
      <c r="H69" s="42"/>
    </row>
    <row r="70" ht="15.75" customHeight="1">
      <c r="E70" s="42"/>
      <c r="F70" s="40"/>
      <c r="G70" s="42"/>
      <c r="H70" s="42"/>
    </row>
    <row r="71" ht="15.75" customHeight="1">
      <c r="E71" s="42"/>
      <c r="F71" s="40"/>
      <c r="G71" s="42"/>
      <c r="H71" s="42"/>
    </row>
    <row r="72" ht="15.75" customHeight="1">
      <c r="E72" s="42"/>
      <c r="F72" s="40"/>
      <c r="G72" s="42"/>
      <c r="H72" s="42"/>
    </row>
    <row r="73" ht="15.75" customHeight="1">
      <c r="E73" s="42"/>
      <c r="F73" s="40"/>
      <c r="G73" s="42"/>
      <c r="H73" s="42"/>
    </row>
    <row r="74" ht="15.75" customHeight="1">
      <c r="E74" s="42"/>
      <c r="F74" s="40"/>
      <c r="G74" s="42"/>
      <c r="H74" s="42"/>
    </row>
    <row r="75" ht="15.75" customHeight="1">
      <c r="E75" s="42"/>
      <c r="F75" s="40"/>
      <c r="G75" s="42"/>
      <c r="H75" s="42"/>
    </row>
    <row r="76" ht="15.75" customHeight="1">
      <c r="E76" s="42"/>
      <c r="F76" s="40"/>
      <c r="G76" s="42"/>
      <c r="H76" s="42"/>
    </row>
    <row r="77" ht="15.75" customHeight="1">
      <c r="E77" s="42"/>
      <c r="F77" s="40"/>
      <c r="G77" s="42"/>
      <c r="H77" s="42"/>
    </row>
    <row r="78" ht="15.75" customHeight="1">
      <c r="E78" s="42"/>
      <c r="F78" s="40"/>
      <c r="G78" s="42"/>
      <c r="H78" s="42"/>
    </row>
    <row r="79" ht="15.75" customHeight="1">
      <c r="E79" s="42"/>
      <c r="F79" s="40"/>
      <c r="G79" s="42"/>
      <c r="H79" s="42"/>
    </row>
    <row r="80" ht="15.75" customHeight="1">
      <c r="E80" s="42"/>
      <c r="F80" s="40"/>
      <c r="G80" s="42"/>
      <c r="H80" s="42"/>
    </row>
    <row r="81" ht="15.75" customHeight="1">
      <c r="E81" s="42"/>
      <c r="F81" s="40"/>
      <c r="G81" s="42"/>
      <c r="H81" s="42"/>
    </row>
    <row r="82" ht="15.75" customHeight="1">
      <c r="E82" s="42"/>
      <c r="F82" s="40"/>
      <c r="G82" s="42"/>
      <c r="H82" s="42"/>
    </row>
    <row r="83" ht="15.75" customHeight="1">
      <c r="E83" s="42"/>
      <c r="F83" s="40"/>
      <c r="G83" s="42"/>
      <c r="H83" s="42"/>
    </row>
    <row r="84" ht="15.75" customHeight="1">
      <c r="E84" s="42"/>
      <c r="F84" s="40"/>
      <c r="G84" s="42"/>
      <c r="H84" s="42"/>
    </row>
    <row r="85" ht="15.75" customHeight="1">
      <c r="E85" s="42"/>
      <c r="F85" s="40"/>
      <c r="G85" s="42"/>
      <c r="H85" s="42"/>
    </row>
    <row r="86" ht="15.75" customHeight="1">
      <c r="E86" s="42"/>
      <c r="F86" s="40"/>
      <c r="G86" s="42"/>
      <c r="H86" s="42"/>
    </row>
    <row r="87" ht="15.75" customHeight="1">
      <c r="E87" s="42"/>
      <c r="F87" s="40"/>
      <c r="G87" s="42"/>
      <c r="H87" s="42"/>
    </row>
    <row r="88" ht="15.75" customHeight="1">
      <c r="E88" s="42"/>
      <c r="F88" s="40"/>
      <c r="G88" s="42"/>
      <c r="H88" s="42"/>
    </row>
    <row r="89" ht="15.75" customHeight="1">
      <c r="E89" s="42"/>
      <c r="F89" s="40"/>
      <c r="G89" s="42"/>
      <c r="H89" s="42"/>
    </row>
    <row r="90" ht="15.75" customHeight="1">
      <c r="E90" s="42"/>
      <c r="F90" s="40"/>
      <c r="G90" s="42"/>
      <c r="H90" s="42"/>
    </row>
    <row r="91" ht="15.75" customHeight="1">
      <c r="E91" s="42"/>
      <c r="F91" s="40"/>
      <c r="G91" s="42"/>
      <c r="H91" s="42"/>
    </row>
    <row r="92" ht="15.75" customHeight="1">
      <c r="E92" s="42"/>
      <c r="F92" s="40"/>
      <c r="G92" s="42"/>
      <c r="H92" s="42"/>
    </row>
    <row r="93" ht="15.75" customHeight="1">
      <c r="E93" s="42"/>
      <c r="F93" s="40"/>
      <c r="G93" s="42"/>
      <c r="H93" s="42"/>
    </row>
    <row r="94" ht="15.75" customHeight="1">
      <c r="E94" s="42"/>
      <c r="F94" s="40"/>
      <c r="G94" s="42"/>
      <c r="H94" s="42"/>
    </row>
    <row r="95" ht="15.75" customHeight="1">
      <c r="E95" s="42"/>
      <c r="F95" s="40"/>
      <c r="G95" s="42"/>
      <c r="H95" s="42"/>
    </row>
    <row r="96" ht="15.75" customHeight="1">
      <c r="E96" s="42"/>
      <c r="F96" s="40"/>
      <c r="G96" s="42"/>
      <c r="H96" s="42"/>
    </row>
    <row r="97" ht="15.75" customHeight="1">
      <c r="E97" s="42"/>
      <c r="F97" s="40"/>
      <c r="G97" s="42"/>
      <c r="H97" s="42"/>
    </row>
    <row r="98" ht="15.75" customHeight="1">
      <c r="E98" s="42"/>
      <c r="F98" s="40"/>
      <c r="G98" s="42"/>
      <c r="H98" s="42"/>
    </row>
    <row r="99" ht="15.75" customHeight="1">
      <c r="E99" s="42"/>
      <c r="F99" s="40"/>
      <c r="G99" s="42"/>
      <c r="H99" s="42"/>
    </row>
    <row r="100" ht="15.75" customHeight="1">
      <c r="E100" s="42"/>
      <c r="F100" s="40"/>
      <c r="G100" s="42"/>
      <c r="H100" s="42"/>
    </row>
    <row r="101" ht="15.75" customHeight="1">
      <c r="E101" s="42"/>
      <c r="F101" s="40"/>
      <c r="G101" s="42"/>
      <c r="H101" s="42"/>
    </row>
    <row r="102" ht="15.75" customHeight="1">
      <c r="E102" s="42"/>
      <c r="F102" s="40"/>
      <c r="G102" s="42"/>
      <c r="H102" s="42"/>
    </row>
    <row r="103" ht="15.75" customHeight="1">
      <c r="E103" s="42"/>
      <c r="F103" s="40"/>
      <c r="G103" s="42"/>
      <c r="H103" s="42"/>
    </row>
    <row r="104" ht="15.75" customHeight="1">
      <c r="E104" s="42"/>
      <c r="F104" s="40"/>
      <c r="G104" s="42"/>
      <c r="H104" s="42"/>
    </row>
    <row r="105" ht="15.75" customHeight="1">
      <c r="E105" s="42"/>
      <c r="F105" s="40"/>
      <c r="G105" s="42"/>
      <c r="H105" s="42"/>
    </row>
    <row r="106" ht="15.75" customHeight="1">
      <c r="E106" s="42"/>
      <c r="F106" s="40"/>
      <c r="G106" s="42"/>
      <c r="H106" s="42"/>
    </row>
    <row r="107" ht="15.75" customHeight="1">
      <c r="E107" s="42"/>
      <c r="F107" s="40"/>
      <c r="G107" s="42"/>
      <c r="H107" s="42"/>
    </row>
    <row r="108" ht="15.75" customHeight="1">
      <c r="E108" s="42"/>
      <c r="F108" s="40"/>
      <c r="G108" s="42"/>
      <c r="H108" s="42"/>
    </row>
    <row r="109" ht="15.75" customHeight="1">
      <c r="E109" s="42"/>
      <c r="F109" s="40"/>
      <c r="G109" s="42"/>
      <c r="H109" s="42"/>
    </row>
    <row r="110" ht="15.75" customHeight="1">
      <c r="E110" s="42"/>
      <c r="F110" s="40"/>
      <c r="G110" s="42"/>
      <c r="H110" s="42"/>
    </row>
    <row r="111" ht="15.75" customHeight="1">
      <c r="E111" s="42"/>
      <c r="F111" s="40"/>
      <c r="G111" s="42"/>
      <c r="H111" s="42"/>
    </row>
    <row r="112" ht="15.75" customHeight="1">
      <c r="E112" s="42"/>
      <c r="F112" s="40"/>
      <c r="G112" s="42"/>
      <c r="H112" s="42"/>
    </row>
    <row r="113" ht="15.75" customHeight="1">
      <c r="E113" s="42"/>
      <c r="F113" s="40"/>
      <c r="G113" s="42"/>
      <c r="H113" s="42"/>
    </row>
    <row r="114" ht="15.75" customHeight="1">
      <c r="E114" s="42"/>
      <c r="F114" s="40"/>
      <c r="G114" s="42"/>
      <c r="H114" s="42"/>
    </row>
    <row r="115" ht="15.75" customHeight="1">
      <c r="E115" s="42"/>
      <c r="F115" s="40"/>
      <c r="G115" s="42"/>
      <c r="H115" s="42"/>
    </row>
    <row r="116" ht="15.75" customHeight="1">
      <c r="E116" s="42"/>
      <c r="F116" s="40"/>
      <c r="G116" s="42"/>
      <c r="H116" s="42"/>
    </row>
    <row r="117" ht="15.75" customHeight="1">
      <c r="E117" s="42"/>
      <c r="F117" s="40"/>
      <c r="G117" s="42"/>
      <c r="H117" s="42"/>
    </row>
    <row r="118" ht="15.75" customHeight="1">
      <c r="E118" s="42"/>
      <c r="F118" s="40"/>
      <c r="G118" s="42"/>
      <c r="H118" s="42"/>
    </row>
    <row r="119" ht="15.75" customHeight="1">
      <c r="E119" s="42"/>
      <c r="F119" s="40"/>
      <c r="G119" s="42"/>
      <c r="H119" s="42"/>
    </row>
    <row r="120" ht="15.75" customHeight="1">
      <c r="E120" s="42"/>
      <c r="F120" s="40"/>
      <c r="G120" s="42"/>
      <c r="H120" s="42"/>
    </row>
    <row r="121" ht="15.75" customHeight="1">
      <c r="E121" s="42"/>
      <c r="F121" s="40"/>
      <c r="G121" s="42"/>
      <c r="H121" s="42"/>
    </row>
    <row r="122" ht="15.75" customHeight="1">
      <c r="E122" s="42"/>
      <c r="F122" s="40"/>
      <c r="G122" s="42"/>
      <c r="H122" s="42"/>
    </row>
    <row r="123" ht="15.75" customHeight="1">
      <c r="E123" s="42"/>
      <c r="F123" s="40"/>
      <c r="G123" s="42"/>
      <c r="H123" s="42"/>
    </row>
    <row r="124" ht="15.75" customHeight="1">
      <c r="E124" s="42"/>
      <c r="F124" s="40"/>
      <c r="G124" s="42"/>
      <c r="H124" s="42"/>
    </row>
    <row r="125" ht="15.75" customHeight="1">
      <c r="E125" s="42"/>
      <c r="F125" s="40"/>
      <c r="G125" s="42"/>
      <c r="H125" s="42"/>
    </row>
    <row r="126" ht="15.75" customHeight="1">
      <c r="E126" s="42"/>
      <c r="F126" s="40"/>
      <c r="G126" s="42"/>
      <c r="H126" s="42"/>
    </row>
    <row r="127" ht="15.75" customHeight="1">
      <c r="E127" s="42"/>
      <c r="F127" s="40"/>
      <c r="G127" s="42"/>
      <c r="H127" s="42"/>
    </row>
    <row r="128" ht="15.75" customHeight="1">
      <c r="E128" s="42"/>
      <c r="F128" s="40"/>
      <c r="G128" s="42"/>
      <c r="H128" s="42"/>
    </row>
    <row r="129" ht="15.75" customHeight="1">
      <c r="E129" s="42"/>
      <c r="F129" s="40"/>
      <c r="G129" s="42"/>
      <c r="H129" s="42"/>
    </row>
    <row r="130" ht="15.75" customHeight="1">
      <c r="E130" s="42"/>
      <c r="F130" s="40"/>
      <c r="G130" s="42"/>
      <c r="H130" s="42"/>
    </row>
    <row r="131" ht="15.75" customHeight="1">
      <c r="E131" s="42"/>
      <c r="F131" s="40"/>
      <c r="G131" s="42"/>
      <c r="H131" s="42"/>
    </row>
    <row r="132" ht="15.75" customHeight="1">
      <c r="E132" s="42"/>
      <c r="F132" s="40"/>
      <c r="G132" s="42"/>
      <c r="H132" s="42"/>
    </row>
    <row r="133" ht="15.75" customHeight="1">
      <c r="E133" s="42"/>
      <c r="F133" s="40"/>
      <c r="G133" s="42"/>
      <c r="H133" s="42"/>
    </row>
    <row r="134" ht="15.75" customHeight="1">
      <c r="E134" s="42"/>
      <c r="F134" s="40"/>
      <c r="G134" s="42"/>
      <c r="H134" s="42"/>
    </row>
    <row r="135" ht="15.75" customHeight="1">
      <c r="E135" s="42"/>
      <c r="F135" s="40"/>
      <c r="G135" s="42"/>
      <c r="H135" s="42"/>
    </row>
    <row r="136" ht="15.75" customHeight="1">
      <c r="E136" s="42"/>
      <c r="F136" s="40"/>
      <c r="G136" s="42"/>
      <c r="H136" s="42"/>
    </row>
    <row r="137" ht="15.75" customHeight="1">
      <c r="E137" s="42"/>
      <c r="F137" s="40"/>
      <c r="G137" s="42"/>
      <c r="H137" s="42"/>
    </row>
    <row r="138" ht="15.75" customHeight="1">
      <c r="E138" s="42"/>
      <c r="F138" s="40"/>
      <c r="G138" s="42"/>
      <c r="H138" s="42"/>
    </row>
    <row r="139" ht="15.75" customHeight="1">
      <c r="E139" s="42"/>
      <c r="F139" s="40"/>
      <c r="G139" s="42"/>
      <c r="H139" s="42"/>
    </row>
    <row r="140" ht="15.75" customHeight="1">
      <c r="E140" s="42"/>
      <c r="F140" s="40"/>
      <c r="G140" s="42"/>
      <c r="H140" s="42"/>
    </row>
    <row r="141" ht="15.75" customHeight="1">
      <c r="E141" s="42"/>
      <c r="F141" s="40"/>
      <c r="G141" s="42"/>
      <c r="H141" s="42"/>
    </row>
    <row r="142" ht="15.75" customHeight="1">
      <c r="E142" s="42"/>
      <c r="F142" s="40"/>
      <c r="G142" s="42"/>
      <c r="H142" s="42"/>
    </row>
    <row r="143" ht="15.75" customHeight="1">
      <c r="E143" s="42"/>
      <c r="F143" s="40"/>
      <c r="G143" s="42"/>
      <c r="H143" s="42"/>
    </row>
    <row r="144" ht="15.75" customHeight="1">
      <c r="E144" s="42"/>
      <c r="F144" s="40"/>
      <c r="G144" s="42"/>
      <c r="H144" s="42"/>
    </row>
    <row r="145" ht="15.75" customHeight="1">
      <c r="E145" s="42"/>
      <c r="F145" s="40"/>
      <c r="G145" s="42"/>
      <c r="H145" s="42"/>
    </row>
    <row r="146" ht="15.75" customHeight="1">
      <c r="E146" s="42"/>
      <c r="F146" s="40"/>
      <c r="G146" s="42"/>
      <c r="H146" s="42"/>
    </row>
    <row r="147" ht="15.75" customHeight="1">
      <c r="E147" s="42"/>
      <c r="F147" s="40"/>
      <c r="G147" s="42"/>
      <c r="H147" s="42"/>
    </row>
    <row r="148" ht="15.75" customHeight="1">
      <c r="E148" s="42"/>
      <c r="F148" s="40"/>
      <c r="G148" s="42"/>
      <c r="H148" s="42"/>
    </row>
    <row r="149" ht="15.75" customHeight="1">
      <c r="E149" s="42"/>
      <c r="F149" s="40"/>
      <c r="G149" s="42"/>
      <c r="H149" s="42"/>
    </row>
    <row r="150" ht="15.75" customHeight="1">
      <c r="E150" s="42"/>
      <c r="F150" s="40"/>
      <c r="G150" s="42"/>
      <c r="H150" s="42"/>
    </row>
    <row r="151" ht="15.75" customHeight="1">
      <c r="E151" s="42"/>
      <c r="F151" s="40"/>
      <c r="G151" s="42"/>
      <c r="H151" s="42"/>
    </row>
    <row r="152" ht="15.75" customHeight="1">
      <c r="E152" s="42"/>
      <c r="F152" s="40"/>
      <c r="G152" s="42"/>
      <c r="H152" s="42"/>
    </row>
    <row r="153" ht="15.75" customHeight="1">
      <c r="E153" s="42"/>
      <c r="F153" s="40"/>
      <c r="G153" s="42"/>
      <c r="H153" s="42"/>
    </row>
    <row r="154" ht="15.75" customHeight="1">
      <c r="E154" s="42"/>
      <c r="F154" s="40"/>
      <c r="G154" s="42"/>
      <c r="H154" s="42"/>
    </row>
    <row r="155" ht="15.75" customHeight="1">
      <c r="E155" s="42"/>
      <c r="F155" s="40"/>
      <c r="G155" s="42"/>
      <c r="H155" s="42"/>
    </row>
    <row r="156" ht="15.75" customHeight="1">
      <c r="E156" s="42"/>
      <c r="F156" s="40"/>
      <c r="G156" s="42"/>
      <c r="H156" s="42"/>
    </row>
    <row r="157" ht="15.75" customHeight="1">
      <c r="E157" s="42"/>
      <c r="F157" s="40"/>
      <c r="G157" s="42"/>
      <c r="H157" s="42"/>
    </row>
    <row r="158" ht="15.75" customHeight="1">
      <c r="E158" s="42"/>
      <c r="F158" s="40"/>
      <c r="G158" s="42"/>
      <c r="H158" s="42"/>
    </row>
    <row r="159" ht="15.75" customHeight="1">
      <c r="E159" s="42"/>
      <c r="F159" s="40"/>
      <c r="G159" s="42"/>
      <c r="H159" s="42"/>
    </row>
    <row r="160" ht="15.75" customHeight="1">
      <c r="E160" s="42"/>
      <c r="F160" s="40"/>
      <c r="G160" s="42"/>
      <c r="H160" s="42"/>
    </row>
    <row r="161" ht="15.75" customHeight="1">
      <c r="E161" s="42"/>
      <c r="F161" s="40"/>
      <c r="G161" s="42"/>
      <c r="H161" s="42"/>
    </row>
    <row r="162" ht="15.75" customHeight="1">
      <c r="E162" s="42"/>
      <c r="F162" s="40"/>
      <c r="G162" s="42"/>
      <c r="H162" s="42"/>
    </row>
    <row r="163" ht="15.75" customHeight="1">
      <c r="E163" s="42"/>
      <c r="F163" s="40"/>
      <c r="G163" s="42"/>
      <c r="H163" s="42"/>
    </row>
    <row r="164" ht="15.75" customHeight="1">
      <c r="E164" s="42"/>
      <c r="F164" s="40"/>
      <c r="G164" s="42"/>
      <c r="H164" s="42"/>
    </row>
    <row r="165" ht="15.75" customHeight="1">
      <c r="E165" s="42"/>
      <c r="F165" s="40"/>
      <c r="G165" s="42"/>
      <c r="H165" s="42"/>
    </row>
    <row r="166" ht="15.75" customHeight="1">
      <c r="E166" s="42"/>
      <c r="F166" s="40"/>
      <c r="G166" s="42"/>
      <c r="H166" s="42"/>
    </row>
    <row r="167" ht="15.75" customHeight="1">
      <c r="E167" s="42"/>
      <c r="F167" s="40"/>
      <c r="G167" s="42"/>
      <c r="H167" s="42"/>
    </row>
    <row r="168" ht="15.75" customHeight="1">
      <c r="E168" s="42"/>
      <c r="F168" s="40"/>
      <c r="G168" s="42"/>
      <c r="H168" s="42"/>
    </row>
    <row r="169" ht="15.75" customHeight="1">
      <c r="E169" s="42"/>
      <c r="F169" s="40"/>
      <c r="G169" s="42"/>
      <c r="H169" s="42"/>
    </row>
    <row r="170" ht="15.75" customHeight="1">
      <c r="E170" s="42"/>
      <c r="F170" s="40"/>
      <c r="G170" s="42"/>
      <c r="H170" s="42"/>
    </row>
    <row r="171" ht="15.75" customHeight="1">
      <c r="E171" s="42"/>
      <c r="F171" s="40"/>
      <c r="G171" s="42"/>
      <c r="H171" s="42"/>
    </row>
    <row r="172" ht="15.75" customHeight="1">
      <c r="E172" s="42"/>
      <c r="F172" s="40"/>
      <c r="G172" s="42"/>
      <c r="H172" s="42"/>
    </row>
    <row r="173" ht="15.75" customHeight="1">
      <c r="E173" s="42"/>
      <c r="F173" s="40"/>
      <c r="G173" s="42"/>
      <c r="H173" s="42"/>
    </row>
    <row r="174" ht="15.75" customHeight="1">
      <c r="E174" s="42"/>
      <c r="F174" s="40"/>
      <c r="G174" s="42"/>
      <c r="H174" s="42"/>
    </row>
    <row r="175" ht="15.75" customHeight="1">
      <c r="E175" s="42"/>
      <c r="F175" s="40"/>
      <c r="G175" s="42"/>
      <c r="H175" s="42"/>
    </row>
    <row r="176" ht="15.75" customHeight="1">
      <c r="E176" s="42"/>
      <c r="F176" s="40"/>
      <c r="G176" s="42"/>
      <c r="H176" s="42"/>
    </row>
    <row r="177" ht="15.75" customHeight="1">
      <c r="E177" s="42"/>
      <c r="F177" s="40"/>
      <c r="G177" s="42"/>
      <c r="H177" s="42"/>
    </row>
    <row r="178" ht="15.75" customHeight="1">
      <c r="E178" s="42"/>
      <c r="F178" s="40"/>
      <c r="G178" s="42"/>
      <c r="H178" s="42"/>
    </row>
    <row r="179" ht="15.75" customHeight="1">
      <c r="E179" s="42"/>
      <c r="F179" s="40"/>
      <c r="G179" s="42"/>
      <c r="H179" s="42"/>
    </row>
    <row r="180" ht="15.75" customHeight="1">
      <c r="E180" s="42"/>
      <c r="F180" s="40"/>
      <c r="G180" s="42"/>
      <c r="H180" s="42"/>
    </row>
    <row r="181" ht="15.75" customHeight="1">
      <c r="E181" s="42"/>
      <c r="F181" s="40"/>
      <c r="G181" s="42"/>
      <c r="H181" s="42"/>
    </row>
    <row r="182" ht="15.75" customHeight="1">
      <c r="E182" s="42"/>
      <c r="F182" s="40"/>
      <c r="G182" s="42"/>
      <c r="H182" s="42"/>
    </row>
    <row r="183" ht="15.75" customHeight="1">
      <c r="E183" s="42"/>
      <c r="F183" s="40"/>
      <c r="G183" s="42"/>
      <c r="H183" s="42"/>
    </row>
    <row r="184" ht="15.75" customHeight="1">
      <c r="E184" s="42"/>
      <c r="F184" s="40"/>
      <c r="G184" s="42"/>
      <c r="H184" s="42"/>
    </row>
    <row r="185" ht="15.75" customHeight="1">
      <c r="E185" s="42"/>
      <c r="F185" s="40"/>
      <c r="G185" s="42"/>
      <c r="H185" s="42"/>
    </row>
    <row r="186" ht="15.75" customHeight="1">
      <c r="E186" s="42"/>
      <c r="F186" s="40"/>
      <c r="G186" s="42"/>
      <c r="H186" s="42"/>
    </row>
    <row r="187" ht="15.75" customHeight="1">
      <c r="E187" s="42"/>
      <c r="F187" s="40"/>
      <c r="G187" s="42"/>
      <c r="H187" s="42"/>
    </row>
    <row r="188" ht="15.75" customHeight="1">
      <c r="E188" s="42"/>
      <c r="F188" s="40"/>
      <c r="G188" s="42"/>
      <c r="H188" s="42"/>
    </row>
    <row r="189" ht="15.75" customHeight="1">
      <c r="E189" s="42"/>
      <c r="F189" s="40"/>
      <c r="G189" s="42"/>
      <c r="H189" s="42"/>
    </row>
    <row r="190" ht="15.75" customHeight="1">
      <c r="E190" s="42"/>
      <c r="F190" s="40"/>
      <c r="G190" s="42"/>
      <c r="H190" s="42"/>
    </row>
    <row r="191" ht="15.75" customHeight="1">
      <c r="E191" s="42"/>
      <c r="F191" s="40"/>
      <c r="G191" s="42"/>
      <c r="H191" s="42"/>
    </row>
    <row r="192" ht="15.75" customHeight="1">
      <c r="E192" s="42"/>
      <c r="F192" s="40"/>
      <c r="G192" s="42"/>
      <c r="H192" s="42"/>
    </row>
    <row r="193" ht="15.75" customHeight="1">
      <c r="E193" s="42"/>
      <c r="F193" s="40"/>
      <c r="G193" s="42"/>
      <c r="H193" s="42"/>
    </row>
    <row r="194" ht="15.75" customHeight="1">
      <c r="E194" s="42"/>
      <c r="F194" s="40"/>
      <c r="G194" s="42"/>
      <c r="H194" s="42"/>
    </row>
    <row r="195" ht="15.75" customHeight="1">
      <c r="E195" s="42"/>
      <c r="F195" s="40"/>
      <c r="G195" s="42"/>
      <c r="H195" s="42"/>
    </row>
    <row r="196" ht="15.75" customHeight="1">
      <c r="E196" s="42"/>
      <c r="F196" s="40"/>
      <c r="G196" s="42"/>
      <c r="H196" s="42"/>
    </row>
    <row r="197" ht="15.75" customHeight="1">
      <c r="E197" s="42"/>
      <c r="F197" s="40"/>
      <c r="G197" s="42"/>
      <c r="H197" s="42"/>
    </row>
    <row r="198" ht="15.75" customHeight="1">
      <c r="E198" s="42"/>
      <c r="F198" s="40"/>
      <c r="G198" s="42"/>
      <c r="H198" s="42"/>
    </row>
    <row r="199" ht="15.75" customHeight="1">
      <c r="E199" s="42"/>
      <c r="F199" s="40"/>
      <c r="G199" s="42"/>
      <c r="H199" s="42"/>
    </row>
    <row r="200" ht="15.75" customHeight="1">
      <c r="E200" s="42"/>
      <c r="F200" s="40"/>
      <c r="G200" s="42"/>
      <c r="H200" s="42"/>
    </row>
    <row r="201" ht="15.75" customHeight="1">
      <c r="E201" s="42"/>
      <c r="F201" s="40"/>
      <c r="G201" s="42"/>
      <c r="H201" s="42"/>
    </row>
    <row r="202" ht="15.75" customHeight="1">
      <c r="E202" s="42"/>
      <c r="F202" s="40"/>
      <c r="G202" s="42"/>
      <c r="H202" s="42"/>
    </row>
    <row r="203" ht="15.75" customHeight="1">
      <c r="E203" s="42"/>
      <c r="F203" s="40"/>
      <c r="G203" s="42"/>
      <c r="H203" s="42"/>
    </row>
    <row r="204" ht="15.75" customHeight="1">
      <c r="E204" s="42"/>
      <c r="F204" s="40"/>
      <c r="G204" s="42"/>
      <c r="H204" s="42"/>
    </row>
    <row r="205" ht="15.75" customHeight="1">
      <c r="E205" s="42"/>
      <c r="F205" s="40"/>
      <c r="G205" s="42"/>
      <c r="H205" s="42"/>
    </row>
    <row r="206" ht="15.75" customHeight="1">
      <c r="E206" s="42"/>
      <c r="F206" s="40"/>
      <c r="G206" s="42"/>
      <c r="H206" s="42"/>
    </row>
    <row r="207" ht="15.75" customHeight="1">
      <c r="E207" s="42"/>
      <c r="F207" s="40"/>
      <c r="G207" s="42"/>
      <c r="H207" s="42"/>
    </row>
    <row r="208" ht="15.75" customHeight="1">
      <c r="E208" s="42"/>
      <c r="F208" s="40"/>
      <c r="G208" s="42"/>
      <c r="H208" s="42"/>
    </row>
    <row r="209" ht="15.75" customHeight="1">
      <c r="E209" s="42"/>
      <c r="F209" s="40"/>
      <c r="G209" s="42"/>
      <c r="H209" s="42"/>
    </row>
    <row r="210" ht="15.75" customHeight="1">
      <c r="E210" s="42"/>
      <c r="F210" s="40"/>
      <c r="G210" s="42"/>
      <c r="H210" s="42"/>
    </row>
    <row r="211" ht="15.75" customHeight="1">
      <c r="E211" s="42"/>
      <c r="F211" s="40"/>
      <c r="G211" s="42"/>
      <c r="H211" s="42"/>
    </row>
    <row r="212" ht="15.75" customHeight="1">
      <c r="E212" s="42"/>
      <c r="F212" s="40"/>
      <c r="G212" s="42"/>
      <c r="H212" s="42"/>
    </row>
    <row r="213" ht="15.75" customHeight="1">
      <c r="E213" s="42"/>
      <c r="F213" s="40"/>
      <c r="G213" s="42"/>
      <c r="H213" s="42"/>
    </row>
    <row r="214" ht="15.75" customHeight="1">
      <c r="E214" s="42"/>
      <c r="F214" s="40"/>
      <c r="G214" s="42"/>
      <c r="H214" s="42"/>
    </row>
    <row r="215" ht="15.75" customHeight="1">
      <c r="E215" s="42"/>
      <c r="F215" s="40"/>
      <c r="G215" s="42"/>
      <c r="H215" s="42"/>
    </row>
    <row r="216" ht="15.75" customHeight="1">
      <c r="E216" s="42"/>
      <c r="F216" s="40"/>
      <c r="G216" s="42"/>
      <c r="H216" s="42"/>
    </row>
    <row r="217" ht="15.75" customHeight="1">
      <c r="E217" s="42"/>
      <c r="F217" s="40"/>
      <c r="G217" s="42"/>
      <c r="H217" s="42"/>
    </row>
    <row r="218" ht="15.75" customHeight="1">
      <c r="E218" s="42"/>
      <c r="F218" s="40"/>
      <c r="G218" s="42"/>
      <c r="H218" s="42"/>
    </row>
    <row r="219" ht="15.75" customHeight="1">
      <c r="E219" s="42"/>
      <c r="F219" s="40"/>
      <c r="G219" s="42"/>
      <c r="H219" s="42"/>
    </row>
    <row r="220" ht="15.75" customHeight="1">
      <c r="E220" s="42"/>
      <c r="F220" s="40"/>
      <c r="G220" s="42"/>
      <c r="H220" s="42"/>
    </row>
    <row r="221" ht="15.75" customHeight="1">
      <c r="E221" s="42"/>
      <c r="F221" s="40"/>
      <c r="G221" s="42"/>
      <c r="H221" s="42"/>
    </row>
    <row r="222" ht="15.75" customHeight="1">
      <c r="E222" s="42"/>
      <c r="F222" s="40"/>
      <c r="G222" s="42"/>
      <c r="H222" s="42"/>
    </row>
    <row r="223" ht="15.75" customHeight="1">
      <c r="E223" s="42"/>
      <c r="F223" s="40"/>
      <c r="G223" s="42"/>
      <c r="H223" s="42"/>
    </row>
    <row r="224" ht="15.75" customHeight="1">
      <c r="E224" s="42"/>
      <c r="F224" s="40"/>
      <c r="G224" s="42"/>
      <c r="H224" s="42"/>
    </row>
    <row r="225" ht="15.75" customHeight="1">
      <c r="E225" s="42"/>
      <c r="F225" s="40"/>
      <c r="G225" s="42"/>
      <c r="H225" s="42"/>
    </row>
    <row r="226" ht="15.75" customHeight="1">
      <c r="E226" s="42"/>
      <c r="F226" s="40"/>
      <c r="G226" s="42"/>
      <c r="H226" s="42"/>
    </row>
    <row r="227" ht="15.75" customHeight="1">
      <c r="E227" s="42"/>
      <c r="F227" s="40"/>
      <c r="G227" s="42"/>
      <c r="H227" s="42"/>
    </row>
    <row r="228" ht="15.75" customHeight="1">
      <c r="E228" s="42"/>
      <c r="F228" s="40"/>
      <c r="G228" s="42"/>
      <c r="H228" s="42"/>
    </row>
    <row r="229" ht="15.75" customHeight="1">
      <c r="E229" s="42"/>
      <c r="F229" s="40"/>
      <c r="G229" s="42"/>
      <c r="H229" s="42"/>
    </row>
    <row r="230" ht="15.75" customHeight="1">
      <c r="E230" s="42"/>
      <c r="F230" s="40"/>
      <c r="G230" s="42"/>
      <c r="H230" s="42"/>
    </row>
    <row r="231" ht="15.75" customHeight="1">
      <c r="E231" s="42"/>
      <c r="F231" s="40"/>
      <c r="G231" s="42"/>
      <c r="H231" s="42"/>
    </row>
    <row r="232" ht="15.75" customHeight="1">
      <c r="E232" s="42"/>
      <c r="F232" s="40"/>
      <c r="G232" s="42"/>
      <c r="H232" s="42"/>
    </row>
    <row r="233" ht="15.75" customHeight="1">
      <c r="E233" s="42"/>
      <c r="F233" s="40"/>
      <c r="G233" s="42"/>
      <c r="H233" s="42"/>
    </row>
    <row r="234" ht="15.75" customHeight="1">
      <c r="E234" s="42"/>
      <c r="F234" s="40"/>
      <c r="G234" s="42"/>
      <c r="H234" s="42"/>
    </row>
    <row r="235" ht="15.75" customHeight="1">
      <c r="E235" s="42"/>
      <c r="F235" s="40"/>
      <c r="G235" s="42"/>
      <c r="H235" s="42"/>
    </row>
    <row r="236" ht="15.75" customHeight="1">
      <c r="E236" s="42"/>
      <c r="F236" s="40"/>
      <c r="G236" s="42"/>
      <c r="H236" s="42"/>
    </row>
    <row r="237" ht="15.75" customHeight="1">
      <c r="E237" s="42"/>
      <c r="F237" s="40"/>
      <c r="G237" s="42"/>
      <c r="H237" s="42"/>
    </row>
    <row r="238" ht="15.75" customHeight="1">
      <c r="E238" s="42"/>
      <c r="F238" s="40"/>
      <c r="G238" s="42"/>
      <c r="H238" s="42"/>
    </row>
    <row r="239" ht="15.75" customHeight="1">
      <c r="E239" s="42"/>
      <c r="F239" s="40"/>
      <c r="G239" s="42"/>
      <c r="H239" s="42"/>
    </row>
    <row r="240" ht="15.75" customHeight="1">
      <c r="E240" s="42"/>
      <c r="F240" s="40"/>
      <c r="G240" s="42"/>
      <c r="H240" s="42"/>
    </row>
    <row r="241" ht="15.75" customHeight="1">
      <c r="E241" s="42"/>
      <c r="F241" s="40"/>
      <c r="G241" s="42"/>
      <c r="H241" s="42"/>
    </row>
    <row r="242" ht="15.75" customHeight="1">
      <c r="E242" s="42"/>
      <c r="F242" s="40"/>
      <c r="G242" s="42"/>
      <c r="H242" s="42"/>
    </row>
    <row r="243" ht="15.75" customHeight="1">
      <c r="E243" s="42"/>
      <c r="F243" s="40"/>
      <c r="G243" s="42"/>
      <c r="H243" s="42"/>
    </row>
    <row r="244" ht="15.75" customHeight="1">
      <c r="E244" s="42"/>
      <c r="F244" s="40"/>
      <c r="G244" s="42"/>
      <c r="H244" s="42"/>
    </row>
    <row r="245" ht="15.75" customHeight="1">
      <c r="E245" s="42"/>
      <c r="F245" s="40"/>
      <c r="G245" s="42"/>
      <c r="H245" s="42"/>
    </row>
    <row r="246" ht="15.75" customHeight="1">
      <c r="E246" s="42"/>
      <c r="F246" s="40"/>
      <c r="G246" s="42"/>
      <c r="H246" s="42"/>
    </row>
    <row r="247" ht="15.75" customHeight="1">
      <c r="E247" s="42"/>
      <c r="F247" s="40"/>
      <c r="G247" s="42"/>
      <c r="H247" s="42"/>
    </row>
    <row r="248" ht="15.75" customHeight="1">
      <c r="E248" s="42"/>
      <c r="F248" s="40"/>
      <c r="G248" s="42"/>
      <c r="H248" s="42"/>
    </row>
    <row r="249" ht="15.75" customHeight="1">
      <c r="E249" s="42"/>
      <c r="F249" s="40"/>
      <c r="G249" s="42"/>
      <c r="H249" s="42"/>
    </row>
    <row r="250" ht="15.75" customHeight="1">
      <c r="E250" s="42"/>
      <c r="F250" s="40"/>
      <c r="G250" s="42"/>
      <c r="H250" s="42"/>
    </row>
    <row r="251" ht="15.75" customHeight="1">
      <c r="E251" s="42"/>
      <c r="F251" s="40"/>
      <c r="G251" s="42"/>
      <c r="H251" s="42"/>
    </row>
    <row r="252" ht="15.75" customHeight="1">
      <c r="E252" s="42"/>
      <c r="F252" s="40"/>
      <c r="G252" s="42"/>
      <c r="H252" s="42"/>
    </row>
    <row r="253" ht="15.75" customHeight="1">
      <c r="E253" s="42"/>
      <c r="F253" s="40"/>
      <c r="G253" s="42"/>
      <c r="H253" s="42"/>
    </row>
    <row r="254" ht="15.75" customHeight="1">
      <c r="E254" s="42"/>
      <c r="F254" s="40"/>
      <c r="G254" s="42"/>
      <c r="H254" s="42"/>
    </row>
    <row r="255" ht="15.75" customHeight="1">
      <c r="E255" s="42"/>
      <c r="F255" s="40"/>
      <c r="G255" s="42"/>
      <c r="H255" s="42"/>
    </row>
    <row r="256" ht="15.75" customHeight="1">
      <c r="E256" s="42"/>
      <c r="F256" s="40"/>
      <c r="G256" s="42"/>
      <c r="H256" s="42"/>
    </row>
    <row r="257" ht="15.75" customHeight="1">
      <c r="E257" s="42"/>
      <c r="F257" s="40"/>
      <c r="G257" s="42"/>
      <c r="H257" s="42"/>
    </row>
    <row r="258" ht="15.75" customHeight="1">
      <c r="E258" s="42"/>
      <c r="F258" s="40"/>
      <c r="G258" s="42"/>
      <c r="H258" s="42"/>
    </row>
    <row r="259" ht="15.75" customHeight="1">
      <c r="E259" s="42"/>
      <c r="F259" s="40"/>
      <c r="G259" s="42"/>
      <c r="H259" s="42"/>
    </row>
    <row r="260" ht="15.75" customHeight="1">
      <c r="E260" s="42"/>
      <c r="F260" s="40"/>
      <c r="G260" s="42"/>
      <c r="H260" s="42"/>
    </row>
    <row r="261" ht="15.75" customHeight="1">
      <c r="E261" s="42"/>
      <c r="F261" s="40"/>
      <c r="G261" s="42"/>
      <c r="H261" s="42"/>
    </row>
    <row r="262" ht="15.75" customHeight="1">
      <c r="E262" s="42"/>
      <c r="F262" s="40"/>
      <c r="G262" s="42"/>
      <c r="H262" s="42"/>
    </row>
    <row r="263" ht="15.75" customHeight="1">
      <c r="E263" s="42"/>
      <c r="F263" s="40"/>
      <c r="G263" s="42"/>
      <c r="H263" s="42"/>
    </row>
    <row r="264" ht="15.75" customHeight="1">
      <c r="E264" s="42"/>
      <c r="F264" s="40"/>
      <c r="G264" s="42"/>
      <c r="H264" s="42"/>
    </row>
    <row r="265" ht="15.75" customHeight="1">
      <c r="E265" s="42"/>
      <c r="F265" s="40"/>
      <c r="G265" s="42"/>
      <c r="H265" s="42"/>
    </row>
    <row r="266" ht="15.75" customHeight="1">
      <c r="E266" s="42"/>
      <c r="F266" s="40"/>
      <c r="G266" s="42"/>
      <c r="H266" s="42"/>
    </row>
    <row r="267" ht="15.75" customHeight="1">
      <c r="E267" s="42"/>
      <c r="F267" s="40"/>
      <c r="G267" s="42"/>
      <c r="H267" s="42"/>
    </row>
    <row r="268" ht="15.75" customHeight="1">
      <c r="E268" s="42"/>
      <c r="F268" s="40"/>
      <c r="G268" s="42"/>
      <c r="H268" s="42"/>
    </row>
    <row r="269" ht="15.75" customHeight="1">
      <c r="E269" s="42"/>
      <c r="F269" s="40"/>
      <c r="G269" s="42"/>
      <c r="H269" s="42"/>
    </row>
    <row r="270" ht="15.75" customHeight="1">
      <c r="E270" s="42"/>
      <c r="F270" s="40"/>
      <c r="G270" s="42"/>
      <c r="H270" s="42"/>
    </row>
    <row r="271" ht="15.75" customHeight="1">
      <c r="E271" s="42"/>
      <c r="F271" s="40"/>
      <c r="G271" s="42"/>
      <c r="H271" s="42"/>
    </row>
    <row r="272" ht="15.75" customHeight="1">
      <c r="E272" s="42"/>
      <c r="F272" s="40"/>
      <c r="G272" s="42"/>
      <c r="H272" s="42"/>
    </row>
    <row r="273" ht="15.75" customHeight="1">
      <c r="E273" s="42"/>
      <c r="F273" s="40"/>
      <c r="G273" s="42"/>
      <c r="H273" s="42"/>
    </row>
    <row r="274" ht="15.75" customHeight="1">
      <c r="E274" s="42"/>
      <c r="F274" s="40"/>
      <c r="G274" s="42"/>
      <c r="H274" s="42"/>
    </row>
    <row r="275" ht="15.75" customHeight="1">
      <c r="E275" s="42"/>
      <c r="F275" s="40"/>
      <c r="G275" s="42"/>
      <c r="H275" s="42"/>
    </row>
    <row r="276" ht="15.75" customHeight="1">
      <c r="E276" s="42"/>
      <c r="F276" s="40"/>
      <c r="G276" s="42"/>
      <c r="H276" s="42"/>
    </row>
    <row r="277" ht="15.75" customHeight="1">
      <c r="E277" s="42"/>
      <c r="F277" s="40"/>
      <c r="G277" s="42"/>
      <c r="H277" s="42"/>
    </row>
    <row r="278" ht="15.75" customHeight="1">
      <c r="E278" s="42"/>
      <c r="F278" s="40"/>
      <c r="G278" s="42"/>
      <c r="H278" s="42"/>
    </row>
    <row r="279" ht="15.75" customHeight="1">
      <c r="E279" s="42"/>
      <c r="F279" s="40"/>
      <c r="G279" s="42"/>
      <c r="H279" s="42"/>
    </row>
    <row r="280" ht="15.75" customHeight="1">
      <c r="E280" s="42"/>
      <c r="F280" s="40"/>
      <c r="G280" s="42"/>
      <c r="H280" s="42"/>
    </row>
    <row r="281" ht="15.75" customHeight="1">
      <c r="E281" s="42"/>
      <c r="F281" s="40"/>
      <c r="G281" s="42"/>
      <c r="H281" s="42"/>
    </row>
    <row r="282" ht="15.75" customHeight="1">
      <c r="E282" s="42"/>
      <c r="F282" s="40"/>
      <c r="G282" s="42"/>
      <c r="H282" s="42"/>
    </row>
    <row r="283" ht="15.75" customHeight="1">
      <c r="E283" s="42"/>
      <c r="F283" s="40"/>
      <c r="G283" s="42"/>
      <c r="H283" s="42"/>
    </row>
    <row r="284" ht="15.75" customHeight="1">
      <c r="E284" s="42"/>
      <c r="F284" s="40"/>
      <c r="G284" s="42"/>
      <c r="H284" s="42"/>
    </row>
    <row r="285" ht="15.75" customHeight="1">
      <c r="E285" s="42"/>
      <c r="F285" s="40"/>
      <c r="G285" s="42"/>
      <c r="H285" s="42"/>
    </row>
    <row r="286" ht="15.75" customHeight="1">
      <c r="E286" s="42"/>
      <c r="F286" s="40"/>
      <c r="G286" s="42"/>
      <c r="H286" s="42"/>
    </row>
    <row r="287" ht="15.75" customHeight="1">
      <c r="E287" s="42"/>
      <c r="F287" s="40"/>
      <c r="G287" s="42"/>
      <c r="H287" s="42"/>
    </row>
    <row r="288" ht="15.75" customHeight="1">
      <c r="E288" s="42"/>
      <c r="F288" s="40"/>
      <c r="G288" s="42"/>
      <c r="H288" s="42"/>
    </row>
    <row r="289" ht="15.75" customHeight="1">
      <c r="E289" s="42"/>
      <c r="F289" s="40"/>
      <c r="G289" s="42"/>
      <c r="H289" s="42"/>
    </row>
    <row r="290" ht="15.75" customHeight="1">
      <c r="E290" s="42"/>
      <c r="F290" s="40"/>
      <c r="G290" s="42"/>
      <c r="H290" s="42"/>
    </row>
    <row r="291" ht="15.75" customHeight="1">
      <c r="E291" s="42"/>
      <c r="F291" s="40"/>
      <c r="G291" s="42"/>
      <c r="H291" s="42"/>
    </row>
    <row r="292" ht="15.75" customHeight="1">
      <c r="E292" s="42"/>
      <c r="F292" s="40"/>
      <c r="G292" s="42"/>
      <c r="H292" s="42"/>
    </row>
    <row r="293" ht="15.75" customHeight="1">
      <c r="E293" s="42"/>
      <c r="F293" s="40"/>
      <c r="G293" s="42"/>
      <c r="H293" s="42"/>
    </row>
    <row r="294" ht="15.75" customHeight="1">
      <c r="E294" s="42"/>
      <c r="F294" s="40"/>
      <c r="G294" s="42"/>
      <c r="H294" s="42"/>
    </row>
    <row r="295" ht="15.75" customHeight="1">
      <c r="E295" s="42"/>
      <c r="F295" s="40"/>
      <c r="G295" s="42"/>
      <c r="H295" s="42"/>
    </row>
    <row r="296" ht="15.75" customHeight="1">
      <c r="E296" s="42"/>
      <c r="F296" s="40"/>
      <c r="G296" s="42"/>
      <c r="H296" s="42"/>
    </row>
    <row r="297" ht="15.75" customHeight="1">
      <c r="E297" s="42"/>
      <c r="F297" s="40"/>
      <c r="G297" s="42"/>
      <c r="H297" s="42"/>
    </row>
    <row r="298" ht="15.75" customHeight="1">
      <c r="E298" s="42"/>
      <c r="F298" s="40"/>
      <c r="G298" s="42"/>
      <c r="H298" s="42"/>
    </row>
    <row r="299" ht="15.75" customHeight="1">
      <c r="E299" s="42"/>
      <c r="F299" s="40"/>
      <c r="G299" s="42"/>
      <c r="H299" s="42"/>
    </row>
    <row r="300" ht="15.75" customHeight="1">
      <c r="E300" s="42"/>
      <c r="F300" s="40"/>
      <c r="G300" s="42"/>
      <c r="H300" s="42"/>
    </row>
    <row r="301" ht="15.75" customHeight="1">
      <c r="E301" s="42"/>
      <c r="F301" s="40"/>
      <c r="G301" s="42"/>
      <c r="H301" s="42"/>
    </row>
    <row r="302" ht="15.75" customHeight="1">
      <c r="E302" s="42"/>
      <c r="F302" s="40"/>
      <c r="G302" s="42"/>
      <c r="H302" s="42"/>
    </row>
    <row r="303" ht="15.75" customHeight="1">
      <c r="E303" s="42"/>
      <c r="F303" s="40"/>
      <c r="G303" s="42"/>
      <c r="H303" s="42"/>
    </row>
    <row r="304" ht="15.75" customHeight="1">
      <c r="E304" s="42"/>
      <c r="F304" s="40"/>
      <c r="G304" s="42"/>
      <c r="H304" s="42"/>
    </row>
    <row r="305" ht="15.75" customHeight="1">
      <c r="E305" s="42"/>
      <c r="F305" s="40"/>
      <c r="G305" s="42"/>
      <c r="H305" s="42"/>
    </row>
    <row r="306" ht="15.75" customHeight="1">
      <c r="E306" s="42"/>
      <c r="F306" s="40"/>
      <c r="G306" s="42"/>
      <c r="H306" s="42"/>
    </row>
    <row r="307" ht="15.75" customHeight="1">
      <c r="E307" s="42"/>
      <c r="F307" s="40"/>
      <c r="G307" s="42"/>
      <c r="H307" s="42"/>
    </row>
    <row r="308" ht="15.75" customHeight="1">
      <c r="E308" s="42"/>
      <c r="F308" s="40"/>
      <c r="G308" s="42"/>
      <c r="H308" s="42"/>
    </row>
    <row r="309" ht="15.75" customHeight="1">
      <c r="E309" s="42"/>
      <c r="F309" s="40"/>
      <c r="G309" s="42"/>
      <c r="H309" s="42"/>
    </row>
    <row r="310" ht="15.75" customHeight="1">
      <c r="E310" s="42"/>
      <c r="F310" s="40"/>
      <c r="G310" s="42"/>
      <c r="H310" s="42"/>
    </row>
    <row r="311" ht="15.75" customHeight="1">
      <c r="E311" s="42"/>
      <c r="F311" s="40"/>
      <c r="G311" s="42"/>
      <c r="H311" s="42"/>
    </row>
    <row r="312" ht="15.75" customHeight="1">
      <c r="E312" s="42"/>
      <c r="F312" s="40"/>
      <c r="G312" s="42"/>
      <c r="H312" s="42"/>
    </row>
    <row r="313" ht="15.75" customHeight="1">
      <c r="E313" s="42"/>
      <c r="F313" s="40"/>
      <c r="G313" s="42"/>
      <c r="H313" s="42"/>
    </row>
    <row r="314" ht="15.75" customHeight="1">
      <c r="E314" s="42"/>
      <c r="F314" s="40"/>
      <c r="G314" s="42"/>
      <c r="H314" s="42"/>
    </row>
    <row r="315" ht="15.75" customHeight="1">
      <c r="E315" s="42"/>
      <c r="F315" s="40"/>
      <c r="G315" s="42"/>
      <c r="H315" s="42"/>
    </row>
    <row r="316" ht="15.75" customHeight="1">
      <c r="E316" s="42"/>
      <c r="F316" s="40"/>
      <c r="G316" s="42"/>
      <c r="H316" s="42"/>
    </row>
    <row r="317" ht="15.75" customHeight="1">
      <c r="E317" s="42"/>
      <c r="F317" s="40"/>
      <c r="G317" s="42"/>
      <c r="H317" s="42"/>
    </row>
    <row r="318" ht="15.75" customHeight="1">
      <c r="E318" s="42"/>
      <c r="F318" s="40"/>
      <c r="G318" s="42"/>
      <c r="H318" s="42"/>
    </row>
    <row r="319" ht="15.75" customHeight="1">
      <c r="E319" s="42"/>
      <c r="F319" s="40"/>
      <c r="G319" s="42"/>
      <c r="H319" s="42"/>
    </row>
    <row r="320" ht="15.75" customHeight="1">
      <c r="E320" s="42"/>
      <c r="F320" s="40"/>
      <c r="G320" s="42"/>
      <c r="H320" s="42"/>
    </row>
    <row r="321" ht="15.75" customHeight="1">
      <c r="E321" s="42"/>
      <c r="F321" s="40"/>
      <c r="G321" s="42"/>
      <c r="H321" s="42"/>
    </row>
    <row r="322" ht="15.75" customHeight="1">
      <c r="E322" s="42"/>
      <c r="F322" s="40"/>
      <c r="G322" s="42"/>
      <c r="H322" s="42"/>
    </row>
    <row r="323" ht="15.75" customHeight="1">
      <c r="E323" s="42"/>
      <c r="F323" s="40"/>
      <c r="G323" s="42"/>
      <c r="H323" s="42"/>
    </row>
    <row r="324" ht="15.75" customHeight="1">
      <c r="E324" s="42"/>
      <c r="F324" s="40"/>
      <c r="G324" s="42"/>
      <c r="H324" s="42"/>
    </row>
    <row r="325" ht="15.75" customHeight="1">
      <c r="E325" s="42"/>
      <c r="F325" s="40"/>
      <c r="G325" s="42"/>
      <c r="H325" s="42"/>
    </row>
    <row r="326" ht="15.75" customHeight="1">
      <c r="E326" s="42"/>
      <c r="F326" s="40"/>
      <c r="G326" s="42"/>
      <c r="H326" s="42"/>
    </row>
    <row r="327" ht="15.75" customHeight="1">
      <c r="E327" s="42"/>
      <c r="F327" s="40"/>
      <c r="G327" s="42"/>
      <c r="H327" s="42"/>
    </row>
    <row r="328" ht="15.75" customHeight="1">
      <c r="E328" s="42"/>
      <c r="F328" s="40"/>
      <c r="G328" s="42"/>
      <c r="H328" s="42"/>
    </row>
    <row r="329" ht="15.75" customHeight="1">
      <c r="E329" s="42"/>
      <c r="F329" s="40"/>
      <c r="G329" s="42"/>
      <c r="H329" s="42"/>
    </row>
    <row r="330" ht="15.75" customHeight="1">
      <c r="E330" s="42"/>
      <c r="F330" s="40"/>
      <c r="G330" s="42"/>
      <c r="H330" s="42"/>
    </row>
    <row r="331" ht="15.75" customHeight="1">
      <c r="E331" s="42"/>
      <c r="F331" s="40"/>
      <c r="G331" s="42"/>
      <c r="H331" s="42"/>
    </row>
    <row r="332" ht="15.75" customHeight="1">
      <c r="E332" s="42"/>
      <c r="F332" s="40"/>
      <c r="G332" s="42"/>
      <c r="H332" s="42"/>
    </row>
    <row r="333" ht="15.75" customHeight="1">
      <c r="E333" s="42"/>
      <c r="F333" s="40"/>
      <c r="G333" s="42"/>
      <c r="H333" s="42"/>
    </row>
    <row r="334" ht="15.75" customHeight="1">
      <c r="E334" s="42"/>
      <c r="F334" s="40"/>
      <c r="G334" s="42"/>
      <c r="H334" s="42"/>
    </row>
    <row r="335" ht="15.75" customHeight="1">
      <c r="E335" s="42"/>
      <c r="F335" s="40"/>
      <c r="G335" s="42"/>
      <c r="H335" s="42"/>
    </row>
    <row r="336" ht="15.75" customHeight="1">
      <c r="E336" s="42"/>
      <c r="F336" s="40"/>
      <c r="G336" s="42"/>
      <c r="H336" s="42"/>
    </row>
    <row r="337" ht="15.75" customHeight="1">
      <c r="E337" s="42"/>
      <c r="F337" s="40"/>
      <c r="G337" s="42"/>
      <c r="H337" s="42"/>
    </row>
    <row r="338" ht="15.75" customHeight="1">
      <c r="E338" s="42"/>
      <c r="F338" s="40"/>
      <c r="G338" s="42"/>
      <c r="H338" s="42"/>
    </row>
    <row r="339" ht="15.75" customHeight="1">
      <c r="E339" s="42"/>
      <c r="F339" s="40"/>
      <c r="G339" s="42"/>
      <c r="H339" s="42"/>
    </row>
    <row r="340" ht="15.75" customHeight="1">
      <c r="E340" s="42"/>
      <c r="F340" s="40"/>
      <c r="G340" s="42"/>
      <c r="H340" s="42"/>
    </row>
    <row r="341" ht="15.75" customHeight="1">
      <c r="E341" s="42"/>
      <c r="F341" s="40"/>
      <c r="G341" s="42"/>
      <c r="H341" s="42"/>
    </row>
    <row r="342" ht="15.75" customHeight="1">
      <c r="E342" s="42"/>
      <c r="F342" s="40"/>
      <c r="G342" s="42"/>
      <c r="H342" s="42"/>
    </row>
    <row r="343" ht="15.75" customHeight="1">
      <c r="E343" s="42"/>
      <c r="F343" s="40"/>
      <c r="G343" s="42"/>
      <c r="H343" s="42"/>
    </row>
    <row r="344" ht="15.75" customHeight="1">
      <c r="E344" s="42"/>
      <c r="F344" s="40"/>
      <c r="G344" s="42"/>
      <c r="H344" s="42"/>
    </row>
    <row r="345" ht="15.75" customHeight="1">
      <c r="E345" s="42"/>
      <c r="F345" s="40"/>
      <c r="G345" s="42"/>
      <c r="H345" s="42"/>
    </row>
    <row r="346" ht="15.75" customHeight="1">
      <c r="E346" s="42"/>
      <c r="F346" s="40"/>
      <c r="G346" s="42"/>
      <c r="H346" s="42"/>
    </row>
    <row r="347" ht="15.75" customHeight="1">
      <c r="E347" s="42"/>
      <c r="F347" s="40"/>
      <c r="G347" s="42"/>
      <c r="H347" s="42"/>
    </row>
    <row r="348" ht="15.75" customHeight="1">
      <c r="E348" s="42"/>
      <c r="F348" s="40"/>
      <c r="G348" s="42"/>
      <c r="H348" s="42"/>
    </row>
    <row r="349" ht="15.75" customHeight="1">
      <c r="E349" s="42"/>
      <c r="F349" s="40"/>
      <c r="G349" s="42"/>
      <c r="H349" s="42"/>
    </row>
    <row r="350" ht="15.75" customHeight="1">
      <c r="E350" s="42"/>
      <c r="F350" s="40"/>
      <c r="G350" s="42"/>
      <c r="H350" s="42"/>
    </row>
    <row r="351" ht="15.75" customHeight="1">
      <c r="E351" s="42"/>
      <c r="F351" s="40"/>
      <c r="G351" s="42"/>
      <c r="H351" s="42"/>
    </row>
    <row r="352" ht="15.75" customHeight="1">
      <c r="E352" s="42"/>
      <c r="F352" s="40"/>
      <c r="G352" s="42"/>
      <c r="H352" s="42"/>
    </row>
    <row r="353" ht="15.75" customHeight="1">
      <c r="E353" s="42"/>
      <c r="F353" s="40"/>
      <c r="G353" s="42"/>
      <c r="H353" s="42"/>
    </row>
    <row r="354" ht="15.75" customHeight="1">
      <c r="E354" s="42"/>
      <c r="F354" s="40"/>
      <c r="G354" s="42"/>
      <c r="H354" s="42"/>
    </row>
    <row r="355" ht="15.75" customHeight="1">
      <c r="E355" s="42"/>
      <c r="F355" s="40"/>
      <c r="G355" s="42"/>
      <c r="H355" s="42"/>
    </row>
    <row r="356" ht="15.75" customHeight="1">
      <c r="E356" s="42"/>
      <c r="F356" s="40"/>
      <c r="G356" s="42"/>
      <c r="H356" s="42"/>
    </row>
    <row r="357" ht="15.75" customHeight="1">
      <c r="E357" s="42"/>
      <c r="F357" s="40"/>
      <c r="G357" s="42"/>
      <c r="H357" s="42"/>
    </row>
    <row r="358" ht="15.75" customHeight="1">
      <c r="E358" s="42"/>
      <c r="F358" s="40"/>
      <c r="G358" s="42"/>
      <c r="H358" s="42"/>
    </row>
    <row r="359" ht="15.75" customHeight="1">
      <c r="E359" s="42"/>
      <c r="F359" s="40"/>
      <c r="G359" s="42"/>
      <c r="H359" s="42"/>
    </row>
    <row r="360" ht="15.75" customHeight="1">
      <c r="E360" s="42"/>
      <c r="F360" s="40"/>
      <c r="G360" s="42"/>
      <c r="H360" s="42"/>
    </row>
    <row r="361" ht="15.75" customHeight="1">
      <c r="E361" s="42"/>
      <c r="F361" s="40"/>
      <c r="G361" s="42"/>
      <c r="H361" s="42"/>
    </row>
    <row r="362" ht="15.75" customHeight="1">
      <c r="E362" s="42"/>
      <c r="F362" s="40"/>
      <c r="G362" s="42"/>
      <c r="H362" s="42"/>
    </row>
    <row r="363" ht="15.75" customHeight="1">
      <c r="E363" s="42"/>
      <c r="F363" s="40"/>
      <c r="G363" s="42"/>
      <c r="H363" s="42"/>
    </row>
    <row r="364" ht="15.75" customHeight="1">
      <c r="E364" s="42"/>
      <c r="F364" s="40"/>
      <c r="G364" s="42"/>
      <c r="H364" s="42"/>
    </row>
    <row r="365" ht="15.75" customHeight="1">
      <c r="E365" s="42"/>
      <c r="F365" s="40"/>
      <c r="G365" s="42"/>
      <c r="H365" s="42"/>
    </row>
    <row r="366" ht="15.75" customHeight="1">
      <c r="E366" s="42"/>
      <c r="F366" s="40"/>
      <c r="G366" s="42"/>
      <c r="H366" s="42"/>
    </row>
    <row r="367" ht="15.75" customHeight="1">
      <c r="E367" s="42"/>
      <c r="F367" s="40"/>
      <c r="G367" s="42"/>
      <c r="H367" s="42"/>
    </row>
    <row r="368" ht="15.75" customHeight="1">
      <c r="E368" s="42"/>
      <c r="F368" s="40"/>
      <c r="G368" s="42"/>
      <c r="H368" s="42"/>
    </row>
    <row r="369" ht="15.75" customHeight="1">
      <c r="E369" s="42"/>
      <c r="F369" s="40"/>
      <c r="G369" s="42"/>
      <c r="H369" s="42"/>
    </row>
    <row r="370" ht="15.75" customHeight="1">
      <c r="E370" s="42"/>
      <c r="F370" s="40"/>
      <c r="G370" s="42"/>
      <c r="H370" s="42"/>
    </row>
    <row r="371" ht="15.75" customHeight="1">
      <c r="E371" s="42"/>
      <c r="F371" s="40"/>
      <c r="G371" s="42"/>
      <c r="H371" s="42"/>
    </row>
    <row r="372" ht="15.75" customHeight="1">
      <c r="E372" s="42"/>
      <c r="F372" s="40"/>
      <c r="G372" s="42"/>
      <c r="H372" s="42"/>
    </row>
    <row r="373" ht="15.75" customHeight="1">
      <c r="E373" s="42"/>
      <c r="F373" s="40"/>
      <c r="G373" s="42"/>
      <c r="H373" s="42"/>
    </row>
    <row r="374" ht="15.75" customHeight="1">
      <c r="E374" s="42"/>
      <c r="F374" s="40"/>
      <c r="G374" s="42"/>
      <c r="H374" s="42"/>
    </row>
    <row r="375" ht="15.75" customHeight="1">
      <c r="E375" s="42"/>
      <c r="F375" s="40"/>
      <c r="G375" s="42"/>
      <c r="H375" s="42"/>
    </row>
    <row r="376" ht="15.75" customHeight="1">
      <c r="E376" s="42"/>
      <c r="F376" s="40"/>
      <c r="G376" s="42"/>
      <c r="H376" s="42"/>
    </row>
    <row r="377" ht="15.75" customHeight="1">
      <c r="E377" s="42"/>
      <c r="F377" s="40"/>
      <c r="G377" s="42"/>
      <c r="H377" s="42"/>
    </row>
    <row r="378" ht="15.75" customHeight="1">
      <c r="E378" s="42"/>
      <c r="F378" s="40"/>
      <c r="G378" s="42"/>
      <c r="H378" s="42"/>
    </row>
    <row r="379" ht="15.75" customHeight="1">
      <c r="E379" s="42"/>
      <c r="F379" s="40"/>
      <c r="G379" s="42"/>
      <c r="H379" s="42"/>
    </row>
    <row r="380" ht="15.75" customHeight="1">
      <c r="E380" s="42"/>
      <c r="F380" s="40"/>
      <c r="G380" s="42"/>
      <c r="H380" s="42"/>
    </row>
    <row r="381" ht="15.75" customHeight="1">
      <c r="E381" s="42"/>
      <c r="F381" s="40"/>
      <c r="G381" s="42"/>
      <c r="H381" s="42"/>
    </row>
    <row r="382" ht="15.75" customHeight="1">
      <c r="E382" s="42"/>
      <c r="F382" s="40"/>
      <c r="G382" s="42"/>
      <c r="H382" s="42"/>
    </row>
    <row r="383" ht="15.75" customHeight="1">
      <c r="E383" s="42"/>
      <c r="F383" s="40"/>
      <c r="G383" s="42"/>
      <c r="H383" s="42"/>
    </row>
    <row r="384" ht="15.75" customHeight="1">
      <c r="E384" s="42"/>
      <c r="F384" s="40"/>
      <c r="G384" s="42"/>
      <c r="H384" s="42"/>
    </row>
    <row r="385" ht="15.75" customHeight="1">
      <c r="E385" s="42"/>
      <c r="F385" s="40"/>
      <c r="G385" s="42"/>
      <c r="H385" s="42"/>
    </row>
    <row r="386" ht="15.75" customHeight="1">
      <c r="E386" s="42"/>
      <c r="F386" s="40"/>
      <c r="G386" s="42"/>
      <c r="H386" s="42"/>
    </row>
    <row r="387" ht="15.75" customHeight="1">
      <c r="E387" s="42"/>
      <c r="F387" s="40"/>
      <c r="G387" s="42"/>
      <c r="H387" s="42"/>
    </row>
    <row r="388" ht="15.75" customHeight="1">
      <c r="E388" s="42"/>
      <c r="F388" s="40"/>
      <c r="G388" s="42"/>
      <c r="H388" s="42"/>
    </row>
    <row r="389" ht="15.75" customHeight="1">
      <c r="E389" s="42"/>
      <c r="F389" s="40"/>
      <c r="G389" s="42"/>
      <c r="H389" s="42"/>
    </row>
    <row r="390" ht="15.75" customHeight="1">
      <c r="E390" s="42"/>
      <c r="F390" s="40"/>
      <c r="G390" s="42"/>
      <c r="H390" s="42"/>
    </row>
    <row r="391" ht="15.75" customHeight="1">
      <c r="E391" s="42"/>
      <c r="F391" s="40"/>
      <c r="G391" s="42"/>
      <c r="H391" s="42"/>
    </row>
    <row r="392" ht="15.75" customHeight="1">
      <c r="E392" s="42"/>
      <c r="F392" s="40"/>
      <c r="G392" s="42"/>
      <c r="H392" s="42"/>
    </row>
    <row r="393" ht="15.75" customHeight="1">
      <c r="E393" s="42"/>
      <c r="F393" s="40"/>
      <c r="G393" s="42"/>
      <c r="H393" s="42"/>
    </row>
    <row r="394" ht="15.75" customHeight="1">
      <c r="E394" s="42"/>
      <c r="F394" s="40"/>
      <c r="G394" s="42"/>
      <c r="H394" s="42"/>
    </row>
    <row r="395" ht="15.75" customHeight="1">
      <c r="E395" s="42"/>
      <c r="F395" s="40"/>
      <c r="G395" s="42"/>
      <c r="H395" s="42"/>
    </row>
    <row r="396" ht="15.75" customHeight="1">
      <c r="E396" s="42"/>
      <c r="F396" s="40"/>
      <c r="G396" s="42"/>
      <c r="H396" s="42"/>
    </row>
    <row r="397" ht="15.75" customHeight="1">
      <c r="E397" s="42"/>
      <c r="F397" s="40"/>
      <c r="G397" s="42"/>
      <c r="H397" s="42"/>
    </row>
    <row r="398" ht="15.75" customHeight="1">
      <c r="E398" s="42"/>
      <c r="F398" s="40"/>
      <c r="G398" s="42"/>
      <c r="H398" s="42"/>
    </row>
    <row r="399" ht="15.75" customHeight="1">
      <c r="E399" s="42"/>
      <c r="F399" s="40"/>
      <c r="G399" s="42"/>
      <c r="H399" s="42"/>
    </row>
    <row r="400" ht="15.75" customHeight="1">
      <c r="E400" s="42"/>
      <c r="F400" s="40"/>
      <c r="G400" s="42"/>
      <c r="H400" s="42"/>
    </row>
    <row r="401" ht="15.75" customHeight="1">
      <c r="E401" s="42"/>
      <c r="F401" s="40"/>
      <c r="G401" s="42"/>
      <c r="H401" s="42"/>
    </row>
    <row r="402" ht="15.75" customHeight="1">
      <c r="E402" s="42"/>
      <c r="F402" s="40"/>
      <c r="G402" s="42"/>
      <c r="H402" s="42"/>
    </row>
    <row r="403" ht="15.75" customHeight="1">
      <c r="E403" s="42"/>
      <c r="F403" s="40"/>
      <c r="G403" s="42"/>
      <c r="H403" s="42"/>
    </row>
    <row r="404" ht="15.75" customHeight="1">
      <c r="E404" s="42"/>
      <c r="F404" s="40"/>
      <c r="G404" s="42"/>
      <c r="H404" s="42"/>
    </row>
    <row r="405" ht="15.75" customHeight="1">
      <c r="E405" s="42"/>
      <c r="F405" s="40"/>
      <c r="G405" s="42"/>
      <c r="H405" s="42"/>
    </row>
    <row r="406" ht="15.75" customHeight="1">
      <c r="E406" s="42"/>
      <c r="F406" s="40"/>
      <c r="G406" s="42"/>
      <c r="H406" s="42"/>
    </row>
    <row r="407" ht="15.75" customHeight="1">
      <c r="E407" s="42"/>
      <c r="F407" s="40"/>
      <c r="G407" s="42"/>
      <c r="H407" s="42"/>
    </row>
    <row r="408" ht="15.75" customHeight="1">
      <c r="E408" s="42"/>
      <c r="F408" s="40"/>
      <c r="G408" s="42"/>
      <c r="H408" s="42"/>
    </row>
    <row r="409" ht="15.75" customHeight="1">
      <c r="E409" s="42"/>
      <c r="F409" s="40"/>
      <c r="G409" s="42"/>
      <c r="H409" s="42"/>
    </row>
    <row r="410" ht="15.75" customHeight="1">
      <c r="E410" s="42"/>
      <c r="F410" s="40"/>
      <c r="G410" s="42"/>
      <c r="H410" s="42"/>
    </row>
    <row r="411" ht="15.75" customHeight="1">
      <c r="E411" s="42"/>
      <c r="F411" s="40"/>
      <c r="G411" s="42"/>
      <c r="H411" s="42"/>
    </row>
    <row r="412" ht="15.75" customHeight="1">
      <c r="E412" s="42"/>
      <c r="F412" s="40"/>
      <c r="G412" s="42"/>
      <c r="H412" s="42"/>
    </row>
    <row r="413" ht="15.75" customHeight="1">
      <c r="E413" s="42"/>
      <c r="F413" s="40"/>
      <c r="G413" s="42"/>
      <c r="H413" s="42"/>
    </row>
    <row r="414" ht="15.75" customHeight="1">
      <c r="E414" s="42"/>
      <c r="F414" s="40"/>
      <c r="G414" s="42"/>
      <c r="H414" s="42"/>
    </row>
    <row r="415" ht="15.75" customHeight="1">
      <c r="E415" s="42"/>
      <c r="F415" s="40"/>
      <c r="G415" s="42"/>
      <c r="H415" s="42"/>
    </row>
    <row r="416" ht="15.75" customHeight="1">
      <c r="E416" s="42"/>
      <c r="F416" s="40"/>
      <c r="G416" s="42"/>
      <c r="H416" s="42"/>
    </row>
    <row r="417" ht="15.75" customHeight="1">
      <c r="E417" s="42"/>
      <c r="F417" s="40"/>
      <c r="G417" s="42"/>
      <c r="H417" s="42"/>
    </row>
    <row r="418" ht="15.75" customHeight="1">
      <c r="E418" s="42"/>
      <c r="F418" s="40"/>
      <c r="G418" s="42"/>
      <c r="H418" s="42"/>
    </row>
    <row r="419" ht="15.75" customHeight="1">
      <c r="E419" s="42"/>
      <c r="F419" s="40"/>
      <c r="G419" s="42"/>
      <c r="H419" s="42"/>
    </row>
    <row r="420" ht="15.75" customHeight="1">
      <c r="E420" s="42"/>
      <c r="F420" s="40"/>
      <c r="G420" s="42"/>
      <c r="H420" s="42"/>
    </row>
    <row r="421" ht="15.75" customHeight="1">
      <c r="E421" s="42"/>
      <c r="F421" s="40"/>
      <c r="G421" s="42"/>
      <c r="H421" s="42"/>
    </row>
    <row r="422" ht="15.75" customHeight="1">
      <c r="E422" s="42"/>
      <c r="F422" s="40"/>
      <c r="G422" s="42"/>
      <c r="H422" s="42"/>
    </row>
    <row r="423" ht="15.75" customHeight="1">
      <c r="E423" s="42"/>
      <c r="F423" s="40"/>
      <c r="G423" s="42"/>
      <c r="H423" s="42"/>
    </row>
    <row r="424" ht="15.75" customHeight="1">
      <c r="E424" s="42"/>
      <c r="F424" s="40"/>
      <c r="G424" s="42"/>
      <c r="H424" s="42"/>
    </row>
    <row r="425" ht="15.75" customHeight="1">
      <c r="E425" s="42"/>
      <c r="F425" s="40"/>
      <c r="G425" s="42"/>
      <c r="H425" s="42"/>
    </row>
    <row r="426" ht="15.75" customHeight="1">
      <c r="E426" s="42"/>
      <c r="F426" s="40"/>
      <c r="G426" s="42"/>
      <c r="H426" s="42"/>
    </row>
    <row r="427" ht="15.75" customHeight="1">
      <c r="E427" s="42"/>
      <c r="F427" s="40"/>
      <c r="G427" s="42"/>
      <c r="H427" s="42"/>
    </row>
    <row r="428" ht="15.75" customHeight="1">
      <c r="E428" s="42"/>
      <c r="F428" s="40"/>
      <c r="G428" s="42"/>
      <c r="H428" s="42"/>
    </row>
    <row r="429" ht="15.75" customHeight="1">
      <c r="E429" s="42"/>
      <c r="F429" s="40"/>
      <c r="G429" s="42"/>
      <c r="H429" s="42"/>
    </row>
    <row r="430" ht="15.75" customHeight="1">
      <c r="E430" s="42"/>
      <c r="F430" s="40"/>
      <c r="G430" s="42"/>
      <c r="H430" s="42"/>
    </row>
    <row r="431" ht="15.75" customHeight="1">
      <c r="E431" s="42"/>
      <c r="F431" s="40"/>
      <c r="G431" s="42"/>
      <c r="H431" s="42"/>
    </row>
    <row r="432" ht="15.75" customHeight="1">
      <c r="E432" s="42"/>
      <c r="F432" s="40"/>
      <c r="G432" s="42"/>
      <c r="H432" s="42"/>
    </row>
    <row r="433" ht="15.75" customHeight="1">
      <c r="E433" s="42"/>
      <c r="F433" s="40"/>
      <c r="G433" s="42"/>
      <c r="H433" s="42"/>
    </row>
    <row r="434" ht="15.75" customHeight="1">
      <c r="E434" s="42"/>
      <c r="F434" s="40"/>
      <c r="G434" s="42"/>
      <c r="H434" s="42"/>
    </row>
    <row r="435" ht="15.75" customHeight="1">
      <c r="E435" s="42"/>
      <c r="F435" s="40"/>
      <c r="G435" s="42"/>
      <c r="H435" s="42"/>
    </row>
    <row r="436" ht="15.75" customHeight="1">
      <c r="E436" s="42"/>
      <c r="F436" s="40"/>
      <c r="G436" s="42"/>
      <c r="H436" s="42"/>
    </row>
    <row r="437" ht="15.75" customHeight="1">
      <c r="E437" s="42"/>
      <c r="F437" s="40"/>
      <c r="G437" s="42"/>
      <c r="H437" s="42"/>
    </row>
    <row r="438" ht="15.75" customHeight="1">
      <c r="E438" s="42"/>
      <c r="F438" s="40"/>
      <c r="G438" s="42"/>
      <c r="H438" s="42"/>
    </row>
    <row r="439" ht="15.75" customHeight="1">
      <c r="E439" s="42"/>
      <c r="F439" s="40"/>
      <c r="G439" s="42"/>
      <c r="H439" s="42"/>
    </row>
    <row r="440" ht="15.75" customHeight="1">
      <c r="E440" s="42"/>
      <c r="F440" s="40"/>
      <c r="G440" s="42"/>
      <c r="H440" s="42"/>
    </row>
    <row r="441" ht="15.75" customHeight="1">
      <c r="E441" s="42"/>
      <c r="F441" s="40"/>
      <c r="G441" s="42"/>
      <c r="H441" s="42"/>
    </row>
    <row r="442" ht="15.75" customHeight="1">
      <c r="E442" s="42"/>
      <c r="F442" s="40"/>
      <c r="G442" s="42"/>
      <c r="H442" s="42"/>
    </row>
    <row r="443" ht="15.75" customHeight="1">
      <c r="E443" s="42"/>
      <c r="F443" s="40"/>
      <c r="G443" s="42"/>
      <c r="H443" s="42"/>
    </row>
    <row r="444" ht="15.75" customHeight="1">
      <c r="E444" s="42"/>
      <c r="F444" s="40"/>
      <c r="G444" s="42"/>
      <c r="H444" s="42"/>
    </row>
    <row r="445" ht="15.75" customHeight="1">
      <c r="E445" s="42"/>
      <c r="F445" s="40"/>
      <c r="G445" s="42"/>
      <c r="H445" s="42"/>
    </row>
    <row r="446" ht="15.75" customHeight="1">
      <c r="E446" s="42"/>
      <c r="F446" s="40"/>
      <c r="G446" s="42"/>
      <c r="H446" s="42"/>
    </row>
    <row r="447" ht="15.75" customHeight="1">
      <c r="E447" s="42"/>
      <c r="F447" s="40"/>
      <c r="G447" s="42"/>
      <c r="H447" s="42"/>
    </row>
    <row r="448" ht="15.75" customHeight="1">
      <c r="E448" s="42"/>
      <c r="F448" s="40"/>
      <c r="G448" s="42"/>
      <c r="H448" s="42"/>
    </row>
    <row r="449" ht="15.75" customHeight="1">
      <c r="E449" s="42"/>
      <c r="F449" s="40"/>
      <c r="G449" s="42"/>
      <c r="H449" s="42"/>
    </row>
    <row r="450" ht="15.75" customHeight="1">
      <c r="E450" s="42"/>
      <c r="F450" s="40"/>
      <c r="G450" s="42"/>
      <c r="H450" s="42"/>
    </row>
    <row r="451" ht="15.75" customHeight="1">
      <c r="E451" s="42"/>
      <c r="F451" s="40"/>
      <c r="G451" s="42"/>
      <c r="H451" s="42"/>
    </row>
    <row r="452" ht="15.75" customHeight="1">
      <c r="E452" s="42"/>
      <c r="F452" s="40"/>
      <c r="G452" s="42"/>
      <c r="H452" s="42"/>
    </row>
    <row r="453" ht="15.75" customHeight="1">
      <c r="E453" s="42"/>
      <c r="F453" s="40"/>
      <c r="G453" s="42"/>
      <c r="H453" s="42"/>
    </row>
    <row r="454" ht="15.75" customHeight="1">
      <c r="E454" s="42"/>
      <c r="F454" s="40"/>
      <c r="G454" s="42"/>
      <c r="H454" s="42"/>
    </row>
    <row r="455" ht="15.75" customHeight="1">
      <c r="E455" s="42"/>
      <c r="F455" s="40"/>
      <c r="G455" s="42"/>
      <c r="H455" s="42"/>
    </row>
    <row r="456" ht="15.75" customHeight="1">
      <c r="E456" s="42"/>
      <c r="F456" s="40"/>
      <c r="G456" s="42"/>
      <c r="H456" s="42"/>
    </row>
    <row r="457" ht="15.75" customHeight="1">
      <c r="E457" s="42"/>
      <c r="F457" s="40"/>
      <c r="G457" s="42"/>
      <c r="H457" s="42"/>
    </row>
    <row r="458" ht="15.75" customHeight="1">
      <c r="E458" s="42"/>
      <c r="F458" s="40"/>
      <c r="G458" s="42"/>
      <c r="H458" s="42"/>
    </row>
    <row r="459" ht="15.75" customHeight="1">
      <c r="E459" s="42"/>
      <c r="F459" s="40"/>
      <c r="G459" s="42"/>
      <c r="H459" s="42"/>
    </row>
    <row r="460" ht="15.75" customHeight="1">
      <c r="E460" s="42"/>
      <c r="F460" s="40"/>
      <c r="G460" s="42"/>
      <c r="H460" s="42"/>
    </row>
    <row r="461" ht="15.75" customHeight="1">
      <c r="E461" s="42"/>
      <c r="F461" s="40"/>
      <c r="G461" s="42"/>
      <c r="H461" s="42"/>
    </row>
    <row r="462" ht="15.75" customHeight="1">
      <c r="E462" s="42"/>
      <c r="F462" s="40"/>
      <c r="G462" s="42"/>
      <c r="H462" s="42"/>
    </row>
    <row r="463" ht="15.75" customHeight="1">
      <c r="E463" s="42"/>
      <c r="F463" s="40"/>
      <c r="G463" s="42"/>
      <c r="H463" s="42"/>
    </row>
    <row r="464" ht="15.75" customHeight="1">
      <c r="E464" s="42"/>
      <c r="F464" s="40"/>
      <c r="G464" s="42"/>
      <c r="H464" s="42"/>
    </row>
    <row r="465" ht="15.75" customHeight="1">
      <c r="E465" s="42"/>
      <c r="F465" s="40"/>
      <c r="G465" s="42"/>
      <c r="H465" s="42"/>
    </row>
    <row r="466" ht="15.75" customHeight="1">
      <c r="E466" s="42"/>
      <c r="F466" s="40"/>
      <c r="G466" s="42"/>
      <c r="H466" s="42"/>
    </row>
    <row r="467" ht="15.75" customHeight="1">
      <c r="E467" s="42"/>
      <c r="F467" s="40"/>
      <c r="G467" s="42"/>
      <c r="H467" s="42"/>
    </row>
    <row r="468" ht="15.75" customHeight="1">
      <c r="E468" s="42"/>
      <c r="F468" s="40"/>
      <c r="G468" s="42"/>
      <c r="H468" s="42"/>
    </row>
    <row r="469" ht="15.75" customHeight="1">
      <c r="E469" s="42"/>
      <c r="F469" s="40"/>
      <c r="G469" s="42"/>
      <c r="H469" s="42"/>
    </row>
    <row r="470" ht="15.75" customHeight="1">
      <c r="E470" s="42"/>
      <c r="F470" s="40"/>
      <c r="G470" s="42"/>
      <c r="H470" s="42"/>
    </row>
    <row r="471" ht="15.75" customHeight="1">
      <c r="E471" s="42"/>
      <c r="F471" s="40"/>
      <c r="G471" s="42"/>
      <c r="H471" s="42"/>
    </row>
    <row r="472" ht="15.75" customHeight="1">
      <c r="E472" s="42"/>
      <c r="F472" s="40"/>
      <c r="G472" s="42"/>
      <c r="H472" s="42"/>
    </row>
    <row r="473" ht="15.75" customHeight="1">
      <c r="E473" s="42"/>
      <c r="F473" s="40"/>
      <c r="G473" s="42"/>
      <c r="H473" s="42"/>
    </row>
    <row r="474" ht="15.75" customHeight="1">
      <c r="E474" s="42"/>
      <c r="F474" s="40"/>
      <c r="G474" s="42"/>
      <c r="H474" s="42"/>
    </row>
    <row r="475" ht="15.75" customHeight="1">
      <c r="E475" s="42"/>
      <c r="F475" s="40"/>
      <c r="G475" s="42"/>
      <c r="H475" s="42"/>
    </row>
    <row r="476" ht="15.75" customHeight="1">
      <c r="E476" s="42"/>
      <c r="F476" s="40"/>
      <c r="G476" s="42"/>
      <c r="H476" s="42"/>
    </row>
    <row r="477" ht="15.75" customHeight="1">
      <c r="E477" s="42"/>
      <c r="F477" s="40"/>
      <c r="G477" s="42"/>
      <c r="H477" s="42"/>
    </row>
    <row r="478" ht="15.75" customHeight="1">
      <c r="E478" s="42"/>
      <c r="F478" s="40"/>
      <c r="G478" s="42"/>
      <c r="H478" s="42"/>
    </row>
    <row r="479" ht="15.75" customHeight="1">
      <c r="E479" s="42"/>
      <c r="F479" s="40"/>
      <c r="G479" s="42"/>
      <c r="H479" s="42"/>
    </row>
    <row r="480" ht="15.75" customHeight="1">
      <c r="E480" s="42"/>
      <c r="F480" s="40"/>
      <c r="G480" s="42"/>
      <c r="H480" s="42"/>
    </row>
    <row r="481" ht="15.75" customHeight="1">
      <c r="E481" s="42"/>
      <c r="F481" s="40"/>
      <c r="G481" s="42"/>
      <c r="H481" s="42"/>
    </row>
    <row r="482" ht="15.75" customHeight="1">
      <c r="E482" s="42"/>
      <c r="F482" s="40"/>
      <c r="G482" s="42"/>
      <c r="H482" s="42"/>
    </row>
    <row r="483" ht="15.75" customHeight="1">
      <c r="E483" s="42"/>
      <c r="F483" s="40"/>
      <c r="G483" s="42"/>
      <c r="H483" s="42"/>
    </row>
    <row r="484" ht="15.75" customHeight="1">
      <c r="E484" s="42"/>
      <c r="F484" s="40"/>
      <c r="G484" s="42"/>
      <c r="H484" s="42"/>
    </row>
    <row r="485" ht="15.75" customHeight="1">
      <c r="E485" s="42"/>
      <c r="F485" s="40"/>
      <c r="G485" s="42"/>
      <c r="H485" s="42"/>
    </row>
    <row r="486" ht="15.75" customHeight="1">
      <c r="E486" s="42"/>
      <c r="F486" s="40"/>
      <c r="G486" s="42"/>
      <c r="H486" s="42"/>
    </row>
    <row r="487" ht="15.75" customHeight="1">
      <c r="E487" s="42"/>
      <c r="F487" s="40"/>
      <c r="G487" s="42"/>
      <c r="H487" s="42"/>
    </row>
    <row r="488" ht="15.75" customHeight="1">
      <c r="E488" s="42"/>
      <c r="F488" s="40"/>
      <c r="G488" s="42"/>
      <c r="H488" s="42"/>
    </row>
    <row r="489" ht="15.75" customHeight="1">
      <c r="E489" s="42"/>
      <c r="F489" s="40"/>
      <c r="G489" s="42"/>
      <c r="H489" s="42"/>
    </row>
    <row r="490" ht="15.75" customHeight="1">
      <c r="E490" s="42"/>
      <c r="F490" s="40"/>
      <c r="G490" s="42"/>
      <c r="H490" s="42"/>
    </row>
    <row r="491" ht="15.75" customHeight="1">
      <c r="E491" s="42"/>
      <c r="F491" s="40"/>
      <c r="G491" s="42"/>
      <c r="H491" s="42"/>
    </row>
    <row r="492" ht="15.75" customHeight="1">
      <c r="E492" s="42"/>
      <c r="F492" s="40"/>
      <c r="G492" s="42"/>
      <c r="H492" s="42"/>
    </row>
    <row r="493" ht="15.75" customHeight="1">
      <c r="E493" s="42"/>
      <c r="F493" s="40"/>
      <c r="G493" s="42"/>
      <c r="H493" s="42"/>
    </row>
    <row r="494" ht="15.75" customHeight="1">
      <c r="E494" s="42"/>
      <c r="F494" s="40"/>
      <c r="G494" s="42"/>
      <c r="H494" s="42"/>
    </row>
    <row r="495" ht="15.75" customHeight="1">
      <c r="E495" s="42"/>
      <c r="F495" s="40"/>
      <c r="G495" s="42"/>
      <c r="H495" s="42"/>
    </row>
    <row r="496" ht="15.75" customHeight="1">
      <c r="E496" s="42"/>
      <c r="F496" s="40"/>
      <c r="G496" s="42"/>
      <c r="H496" s="42"/>
    </row>
    <row r="497" ht="15.75" customHeight="1">
      <c r="E497" s="42"/>
      <c r="F497" s="40"/>
      <c r="G497" s="42"/>
      <c r="H497" s="42"/>
    </row>
    <row r="498" ht="15.75" customHeight="1">
      <c r="E498" s="42"/>
      <c r="F498" s="40"/>
      <c r="G498" s="42"/>
      <c r="H498" s="42"/>
    </row>
    <row r="499" ht="15.75" customHeight="1">
      <c r="E499" s="42"/>
      <c r="F499" s="40"/>
      <c r="G499" s="42"/>
      <c r="H499" s="42"/>
    </row>
    <row r="500" ht="15.75" customHeight="1">
      <c r="E500" s="42"/>
      <c r="F500" s="40"/>
      <c r="G500" s="42"/>
      <c r="H500" s="42"/>
    </row>
    <row r="501" ht="15.75" customHeight="1">
      <c r="E501" s="42"/>
      <c r="F501" s="40"/>
      <c r="G501" s="42"/>
      <c r="H501" s="42"/>
    </row>
    <row r="502" ht="15.75" customHeight="1">
      <c r="E502" s="42"/>
      <c r="F502" s="40"/>
      <c r="G502" s="42"/>
      <c r="H502" s="42"/>
    </row>
    <row r="503" ht="15.75" customHeight="1">
      <c r="E503" s="42"/>
      <c r="F503" s="40"/>
      <c r="G503" s="42"/>
      <c r="H503" s="42"/>
    </row>
    <row r="504" ht="15.75" customHeight="1">
      <c r="E504" s="42"/>
      <c r="F504" s="40"/>
      <c r="G504" s="42"/>
      <c r="H504" s="42"/>
    </row>
    <row r="505" ht="15.75" customHeight="1">
      <c r="E505" s="42"/>
      <c r="F505" s="40"/>
      <c r="G505" s="42"/>
      <c r="H505" s="42"/>
    </row>
    <row r="506" ht="15.75" customHeight="1">
      <c r="E506" s="42"/>
      <c r="F506" s="40"/>
      <c r="G506" s="42"/>
      <c r="H506" s="42"/>
    </row>
    <row r="507" ht="15.75" customHeight="1">
      <c r="E507" s="42"/>
      <c r="F507" s="40"/>
      <c r="G507" s="42"/>
      <c r="H507" s="42"/>
    </row>
    <row r="508" ht="15.75" customHeight="1">
      <c r="E508" s="42"/>
      <c r="F508" s="40"/>
      <c r="G508" s="42"/>
      <c r="H508" s="42"/>
    </row>
    <row r="509" ht="15.75" customHeight="1">
      <c r="E509" s="42"/>
      <c r="F509" s="40"/>
      <c r="G509" s="42"/>
      <c r="H509" s="42"/>
    </row>
    <row r="510" ht="15.75" customHeight="1">
      <c r="E510" s="42"/>
      <c r="F510" s="40"/>
      <c r="G510" s="42"/>
      <c r="H510" s="42"/>
    </row>
    <row r="511" ht="15.75" customHeight="1">
      <c r="E511" s="42"/>
      <c r="F511" s="40"/>
      <c r="G511" s="42"/>
      <c r="H511" s="42"/>
    </row>
    <row r="512" ht="15.75" customHeight="1">
      <c r="E512" s="42"/>
      <c r="F512" s="40"/>
      <c r="G512" s="42"/>
      <c r="H512" s="42"/>
    </row>
    <row r="513" ht="15.75" customHeight="1">
      <c r="E513" s="42"/>
      <c r="F513" s="40"/>
      <c r="G513" s="42"/>
      <c r="H513" s="42"/>
    </row>
    <row r="514" ht="15.75" customHeight="1">
      <c r="E514" s="42"/>
      <c r="F514" s="40"/>
      <c r="G514" s="42"/>
      <c r="H514" s="42"/>
    </row>
    <row r="515" ht="15.75" customHeight="1">
      <c r="E515" s="42"/>
      <c r="F515" s="40"/>
      <c r="G515" s="42"/>
      <c r="H515" s="42"/>
    </row>
    <row r="516" ht="15.75" customHeight="1">
      <c r="E516" s="42"/>
      <c r="F516" s="40"/>
      <c r="G516" s="42"/>
      <c r="H516" s="42"/>
    </row>
    <row r="517" ht="15.75" customHeight="1">
      <c r="E517" s="42"/>
      <c r="F517" s="40"/>
      <c r="G517" s="42"/>
      <c r="H517" s="42"/>
    </row>
    <row r="518" ht="15.75" customHeight="1">
      <c r="E518" s="42"/>
      <c r="F518" s="40"/>
      <c r="G518" s="42"/>
      <c r="H518" s="42"/>
    </row>
    <row r="519" ht="15.75" customHeight="1">
      <c r="E519" s="42"/>
      <c r="F519" s="40"/>
      <c r="G519" s="42"/>
      <c r="H519" s="42"/>
    </row>
    <row r="520" ht="15.75" customHeight="1">
      <c r="E520" s="42"/>
      <c r="F520" s="40"/>
      <c r="G520" s="42"/>
      <c r="H520" s="42"/>
    </row>
    <row r="521" ht="15.75" customHeight="1">
      <c r="E521" s="42"/>
      <c r="F521" s="40"/>
      <c r="G521" s="42"/>
      <c r="H521" s="42"/>
    </row>
    <row r="522" ht="15.75" customHeight="1">
      <c r="E522" s="42"/>
      <c r="F522" s="40"/>
      <c r="G522" s="42"/>
      <c r="H522" s="42"/>
    </row>
    <row r="523" ht="15.75" customHeight="1">
      <c r="E523" s="42"/>
      <c r="F523" s="40"/>
      <c r="G523" s="42"/>
      <c r="H523" s="42"/>
    </row>
    <row r="524" ht="15.75" customHeight="1">
      <c r="E524" s="42"/>
      <c r="F524" s="40"/>
      <c r="G524" s="42"/>
      <c r="H524" s="42"/>
    </row>
    <row r="525" ht="15.75" customHeight="1">
      <c r="E525" s="42"/>
      <c r="F525" s="40"/>
      <c r="G525" s="42"/>
      <c r="H525" s="42"/>
    </row>
    <row r="526" ht="15.75" customHeight="1">
      <c r="E526" s="42"/>
      <c r="F526" s="40"/>
      <c r="G526" s="42"/>
      <c r="H526" s="42"/>
    </row>
    <row r="527" ht="15.75" customHeight="1">
      <c r="E527" s="42"/>
      <c r="F527" s="40"/>
      <c r="G527" s="42"/>
      <c r="H527" s="42"/>
    </row>
    <row r="528" ht="15.75" customHeight="1">
      <c r="E528" s="42"/>
      <c r="F528" s="40"/>
      <c r="G528" s="42"/>
      <c r="H528" s="42"/>
    </row>
    <row r="529" ht="15.75" customHeight="1">
      <c r="E529" s="42"/>
      <c r="F529" s="40"/>
      <c r="G529" s="42"/>
      <c r="H529" s="42"/>
    </row>
    <row r="530" ht="15.75" customHeight="1">
      <c r="E530" s="42"/>
      <c r="F530" s="40"/>
      <c r="G530" s="42"/>
      <c r="H530" s="42"/>
    </row>
    <row r="531" ht="15.75" customHeight="1">
      <c r="E531" s="42"/>
      <c r="F531" s="40"/>
      <c r="G531" s="42"/>
      <c r="H531" s="42"/>
    </row>
    <row r="532" ht="15.75" customHeight="1">
      <c r="E532" s="42"/>
      <c r="F532" s="40"/>
      <c r="G532" s="42"/>
      <c r="H532" s="42"/>
    </row>
    <row r="533" ht="15.75" customHeight="1">
      <c r="E533" s="42"/>
      <c r="F533" s="40"/>
      <c r="G533" s="42"/>
      <c r="H533" s="42"/>
    </row>
    <row r="534" ht="15.75" customHeight="1">
      <c r="E534" s="42"/>
      <c r="F534" s="40"/>
      <c r="G534" s="42"/>
      <c r="H534" s="42"/>
    </row>
    <row r="535" ht="15.75" customHeight="1">
      <c r="E535" s="42"/>
      <c r="F535" s="40"/>
      <c r="G535" s="42"/>
      <c r="H535" s="42"/>
    </row>
    <row r="536" ht="15.75" customHeight="1">
      <c r="E536" s="42"/>
      <c r="F536" s="40"/>
      <c r="G536" s="42"/>
      <c r="H536" s="42"/>
    </row>
    <row r="537" ht="15.75" customHeight="1">
      <c r="E537" s="42"/>
      <c r="F537" s="40"/>
      <c r="G537" s="42"/>
      <c r="H537" s="42"/>
    </row>
    <row r="538" ht="15.75" customHeight="1">
      <c r="E538" s="42"/>
      <c r="F538" s="40"/>
      <c r="G538" s="42"/>
      <c r="H538" s="42"/>
    </row>
    <row r="539" ht="15.75" customHeight="1">
      <c r="E539" s="42"/>
      <c r="F539" s="40"/>
      <c r="G539" s="42"/>
      <c r="H539" s="42"/>
    </row>
    <row r="540" ht="15.75" customHeight="1">
      <c r="E540" s="42"/>
      <c r="F540" s="40"/>
      <c r="G540" s="42"/>
      <c r="H540" s="42"/>
    </row>
    <row r="541" ht="15.75" customHeight="1">
      <c r="E541" s="42"/>
      <c r="F541" s="40"/>
      <c r="G541" s="42"/>
      <c r="H541" s="42"/>
    </row>
    <row r="542" ht="15.75" customHeight="1">
      <c r="E542" s="42"/>
      <c r="F542" s="40"/>
      <c r="G542" s="42"/>
      <c r="H542" s="42"/>
    </row>
    <row r="543" ht="15.75" customHeight="1">
      <c r="E543" s="42"/>
      <c r="F543" s="40"/>
      <c r="G543" s="42"/>
      <c r="H543" s="42"/>
    </row>
    <row r="544" ht="15.75" customHeight="1">
      <c r="E544" s="42"/>
      <c r="F544" s="40"/>
      <c r="G544" s="42"/>
      <c r="H544" s="42"/>
    </row>
    <row r="545" ht="15.75" customHeight="1">
      <c r="E545" s="42"/>
      <c r="F545" s="40"/>
      <c r="G545" s="42"/>
      <c r="H545" s="42"/>
    </row>
    <row r="546" ht="15.75" customHeight="1">
      <c r="E546" s="42"/>
      <c r="F546" s="40"/>
      <c r="G546" s="42"/>
      <c r="H546" s="42"/>
    </row>
    <row r="547" ht="15.75" customHeight="1">
      <c r="E547" s="42"/>
      <c r="F547" s="40"/>
      <c r="G547" s="42"/>
      <c r="H547" s="42"/>
    </row>
    <row r="548" ht="15.75" customHeight="1">
      <c r="E548" s="42"/>
      <c r="F548" s="40"/>
      <c r="G548" s="42"/>
      <c r="H548" s="42"/>
    </row>
    <row r="549" ht="15.75" customHeight="1">
      <c r="E549" s="42"/>
      <c r="F549" s="40"/>
      <c r="G549" s="42"/>
      <c r="H549" s="42"/>
    </row>
    <row r="550" ht="15.75" customHeight="1">
      <c r="E550" s="42"/>
      <c r="F550" s="40"/>
      <c r="G550" s="42"/>
      <c r="H550" s="42"/>
    </row>
    <row r="551" ht="15.75" customHeight="1">
      <c r="E551" s="42"/>
      <c r="F551" s="40"/>
      <c r="G551" s="42"/>
      <c r="H551" s="42"/>
    </row>
    <row r="552" ht="15.75" customHeight="1">
      <c r="E552" s="42"/>
      <c r="F552" s="40"/>
      <c r="G552" s="42"/>
      <c r="H552" s="42"/>
    </row>
    <row r="553" ht="15.75" customHeight="1">
      <c r="E553" s="42"/>
      <c r="F553" s="40"/>
      <c r="G553" s="42"/>
      <c r="H553" s="42"/>
    </row>
    <row r="554" ht="15.75" customHeight="1">
      <c r="E554" s="42"/>
      <c r="F554" s="40"/>
      <c r="G554" s="42"/>
      <c r="H554" s="42"/>
    </row>
    <row r="555" ht="15.75" customHeight="1">
      <c r="E555" s="42"/>
      <c r="F555" s="40"/>
      <c r="G555" s="42"/>
      <c r="H555" s="42"/>
    </row>
    <row r="556" ht="15.75" customHeight="1">
      <c r="E556" s="42"/>
      <c r="F556" s="40"/>
      <c r="G556" s="42"/>
      <c r="H556" s="42"/>
    </row>
    <row r="557" ht="15.75" customHeight="1">
      <c r="E557" s="42"/>
      <c r="F557" s="40"/>
      <c r="G557" s="42"/>
      <c r="H557" s="42"/>
    </row>
    <row r="558" ht="15.75" customHeight="1">
      <c r="E558" s="42"/>
      <c r="F558" s="40"/>
      <c r="G558" s="42"/>
      <c r="H558" s="42"/>
    </row>
    <row r="559" ht="15.75" customHeight="1">
      <c r="E559" s="42"/>
      <c r="F559" s="40"/>
      <c r="G559" s="42"/>
      <c r="H559" s="42"/>
    </row>
    <row r="560" ht="15.75" customHeight="1">
      <c r="E560" s="42"/>
      <c r="F560" s="40"/>
      <c r="G560" s="42"/>
      <c r="H560" s="42"/>
    </row>
    <row r="561" ht="15.75" customHeight="1">
      <c r="E561" s="42"/>
      <c r="F561" s="40"/>
      <c r="G561" s="42"/>
      <c r="H561" s="42"/>
    </row>
    <row r="562" ht="15.75" customHeight="1">
      <c r="E562" s="42"/>
      <c r="F562" s="40"/>
      <c r="G562" s="42"/>
      <c r="H562" s="42"/>
    </row>
    <row r="563" ht="15.75" customHeight="1">
      <c r="E563" s="42"/>
      <c r="F563" s="40"/>
      <c r="G563" s="42"/>
      <c r="H563" s="42"/>
    </row>
    <row r="564" ht="15.75" customHeight="1">
      <c r="E564" s="42"/>
      <c r="F564" s="40"/>
      <c r="G564" s="42"/>
      <c r="H564" s="42"/>
    </row>
    <row r="565" ht="15.75" customHeight="1">
      <c r="E565" s="42"/>
      <c r="F565" s="40"/>
      <c r="G565" s="42"/>
      <c r="H565" s="42"/>
    </row>
    <row r="566" ht="15.75" customHeight="1">
      <c r="E566" s="42"/>
      <c r="F566" s="40"/>
      <c r="G566" s="42"/>
      <c r="H566" s="42"/>
    </row>
    <row r="567" ht="15.75" customHeight="1">
      <c r="E567" s="42"/>
      <c r="F567" s="40"/>
      <c r="G567" s="42"/>
      <c r="H567" s="42"/>
    </row>
    <row r="568" ht="15.75" customHeight="1">
      <c r="E568" s="42"/>
      <c r="F568" s="40"/>
      <c r="G568" s="42"/>
      <c r="H568" s="42"/>
    </row>
    <row r="569" ht="15.75" customHeight="1">
      <c r="E569" s="42"/>
      <c r="F569" s="40"/>
      <c r="G569" s="42"/>
      <c r="H569" s="42"/>
    </row>
    <row r="570" ht="15.75" customHeight="1">
      <c r="E570" s="42"/>
      <c r="F570" s="40"/>
      <c r="G570" s="42"/>
      <c r="H570" s="42"/>
    </row>
    <row r="571" ht="15.75" customHeight="1">
      <c r="E571" s="42"/>
      <c r="F571" s="40"/>
      <c r="G571" s="42"/>
      <c r="H571" s="42"/>
    </row>
    <row r="572" ht="15.75" customHeight="1">
      <c r="E572" s="42"/>
      <c r="F572" s="40"/>
      <c r="G572" s="42"/>
      <c r="H572" s="42"/>
    </row>
    <row r="573" ht="15.75" customHeight="1">
      <c r="E573" s="42"/>
      <c r="F573" s="40"/>
      <c r="G573" s="42"/>
      <c r="H573" s="42"/>
    </row>
    <row r="574" ht="15.75" customHeight="1">
      <c r="E574" s="42"/>
      <c r="F574" s="40"/>
      <c r="G574" s="42"/>
      <c r="H574" s="42"/>
    </row>
    <row r="575" ht="15.75" customHeight="1">
      <c r="E575" s="42"/>
      <c r="F575" s="40"/>
      <c r="G575" s="42"/>
      <c r="H575" s="42"/>
    </row>
    <row r="576" ht="15.75" customHeight="1">
      <c r="E576" s="42"/>
      <c r="F576" s="40"/>
      <c r="G576" s="42"/>
      <c r="H576" s="42"/>
    </row>
    <row r="577" ht="15.75" customHeight="1">
      <c r="E577" s="42"/>
      <c r="F577" s="40"/>
      <c r="G577" s="42"/>
      <c r="H577" s="42"/>
    </row>
    <row r="578" ht="15.75" customHeight="1">
      <c r="E578" s="42"/>
      <c r="F578" s="40"/>
      <c r="G578" s="42"/>
      <c r="H578" s="42"/>
    </row>
    <row r="579" ht="15.75" customHeight="1">
      <c r="E579" s="42"/>
      <c r="F579" s="40"/>
      <c r="G579" s="42"/>
      <c r="H579" s="42"/>
    </row>
    <row r="580" ht="15.75" customHeight="1">
      <c r="E580" s="42"/>
      <c r="F580" s="40"/>
      <c r="G580" s="42"/>
      <c r="H580" s="42"/>
    </row>
    <row r="581" ht="15.75" customHeight="1">
      <c r="E581" s="42"/>
      <c r="F581" s="40"/>
      <c r="G581" s="42"/>
      <c r="H581" s="42"/>
    </row>
    <row r="582" ht="15.75" customHeight="1">
      <c r="E582" s="42"/>
      <c r="F582" s="40"/>
      <c r="G582" s="42"/>
      <c r="H582" s="42"/>
    </row>
    <row r="583" ht="15.75" customHeight="1">
      <c r="E583" s="42"/>
      <c r="F583" s="40"/>
      <c r="G583" s="42"/>
      <c r="H583" s="42"/>
    </row>
    <row r="584" ht="15.75" customHeight="1">
      <c r="E584" s="42"/>
      <c r="F584" s="40"/>
      <c r="G584" s="42"/>
      <c r="H584" s="42"/>
    </row>
    <row r="585" ht="15.75" customHeight="1">
      <c r="E585" s="42"/>
      <c r="F585" s="40"/>
      <c r="G585" s="42"/>
      <c r="H585" s="42"/>
    </row>
    <row r="586" ht="15.75" customHeight="1">
      <c r="E586" s="42"/>
      <c r="F586" s="40"/>
      <c r="G586" s="42"/>
      <c r="H586" s="42"/>
    </row>
    <row r="587" ht="15.75" customHeight="1">
      <c r="E587" s="42"/>
      <c r="F587" s="40"/>
      <c r="G587" s="42"/>
      <c r="H587" s="42"/>
    </row>
    <row r="588" ht="15.75" customHeight="1">
      <c r="E588" s="42"/>
      <c r="F588" s="40"/>
      <c r="G588" s="42"/>
      <c r="H588" s="42"/>
    </row>
    <row r="589" ht="15.75" customHeight="1">
      <c r="E589" s="42"/>
      <c r="F589" s="40"/>
      <c r="G589" s="42"/>
      <c r="H589" s="42"/>
    </row>
    <row r="590" ht="15.75" customHeight="1">
      <c r="E590" s="42"/>
      <c r="F590" s="40"/>
      <c r="G590" s="42"/>
      <c r="H590" s="42"/>
    </row>
    <row r="591" ht="15.75" customHeight="1">
      <c r="E591" s="42"/>
      <c r="F591" s="40"/>
      <c r="G591" s="42"/>
      <c r="H591" s="42"/>
    </row>
    <row r="592" ht="15.75" customHeight="1">
      <c r="E592" s="42"/>
      <c r="F592" s="40"/>
      <c r="G592" s="42"/>
      <c r="H592" s="42"/>
    </row>
    <row r="593" ht="15.75" customHeight="1">
      <c r="E593" s="42"/>
      <c r="F593" s="40"/>
      <c r="G593" s="42"/>
      <c r="H593" s="42"/>
    </row>
    <row r="594" ht="15.75" customHeight="1">
      <c r="E594" s="42"/>
      <c r="F594" s="40"/>
      <c r="G594" s="42"/>
      <c r="H594" s="42"/>
    </row>
    <row r="595" ht="15.75" customHeight="1">
      <c r="E595" s="42"/>
      <c r="F595" s="40"/>
      <c r="G595" s="42"/>
      <c r="H595" s="42"/>
    </row>
    <row r="596" ht="15.75" customHeight="1">
      <c r="E596" s="42"/>
      <c r="F596" s="40"/>
      <c r="G596" s="42"/>
      <c r="H596" s="42"/>
    </row>
    <row r="597" ht="15.75" customHeight="1">
      <c r="E597" s="42"/>
      <c r="F597" s="40"/>
      <c r="G597" s="42"/>
      <c r="H597" s="42"/>
    </row>
    <row r="598" ht="15.75" customHeight="1">
      <c r="E598" s="42"/>
      <c r="F598" s="40"/>
      <c r="G598" s="42"/>
      <c r="H598" s="42"/>
    </row>
    <row r="599" ht="15.75" customHeight="1">
      <c r="E599" s="42"/>
      <c r="F599" s="40"/>
      <c r="G599" s="42"/>
      <c r="H599" s="42"/>
    </row>
    <row r="600" ht="15.75" customHeight="1">
      <c r="E600" s="42"/>
      <c r="F600" s="40"/>
      <c r="G600" s="42"/>
      <c r="H600" s="42"/>
    </row>
    <row r="601" ht="15.75" customHeight="1">
      <c r="E601" s="42"/>
      <c r="F601" s="40"/>
      <c r="G601" s="42"/>
      <c r="H601" s="42"/>
    </row>
    <row r="602" ht="15.75" customHeight="1">
      <c r="E602" s="42"/>
      <c r="F602" s="40"/>
      <c r="G602" s="42"/>
      <c r="H602" s="42"/>
    </row>
    <row r="603" ht="15.75" customHeight="1">
      <c r="E603" s="42"/>
      <c r="F603" s="40"/>
      <c r="G603" s="42"/>
      <c r="H603" s="42"/>
    </row>
    <row r="604" ht="15.75" customHeight="1">
      <c r="E604" s="42"/>
      <c r="F604" s="40"/>
      <c r="G604" s="42"/>
      <c r="H604" s="42"/>
    </row>
    <row r="605" ht="15.75" customHeight="1">
      <c r="E605" s="42"/>
      <c r="F605" s="40"/>
      <c r="G605" s="42"/>
      <c r="H605" s="42"/>
    </row>
    <row r="606" ht="15.75" customHeight="1">
      <c r="E606" s="42"/>
      <c r="F606" s="40"/>
      <c r="G606" s="42"/>
      <c r="H606" s="42"/>
    </row>
    <row r="607" ht="15.75" customHeight="1">
      <c r="E607" s="42"/>
      <c r="F607" s="40"/>
      <c r="G607" s="42"/>
      <c r="H607" s="42"/>
    </row>
    <row r="608" ht="15.75" customHeight="1">
      <c r="E608" s="42"/>
      <c r="F608" s="40"/>
      <c r="G608" s="42"/>
      <c r="H608" s="42"/>
    </row>
    <row r="609" ht="15.75" customHeight="1">
      <c r="E609" s="42"/>
      <c r="F609" s="40"/>
      <c r="G609" s="42"/>
      <c r="H609" s="42"/>
    </row>
    <row r="610" ht="15.75" customHeight="1">
      <c r="E610" s="42"/>
      <c r="F610" s="40"/>
      <c r="G610" s="42"/>
      <c r="H610" s="42"/>
    </row>
    <row r="611" ht="15.75" customHeight="1">
      <c r="E611" s="42"/>
      <c r="F611" s="40"/>
      <c r="G611" s="42"/>
      <c r="H611" s="42"/>
    </row>
    <row r="612" ht="15.75" customHeight="1">
      <c r="E612" s="42"/>
      <c r="F612" s="40"/>
      <c r="G612" s="42"/>
      <c r="H612" s="42"/>
    </row>
    <row r="613" ht="15.75" customHeight="1">
      <c r="E613" s="42"/>
      <c r="F613" s="40"/>
      <c r="G613" s="42"/>
      <c r="H613" s="42"/>
    </row>
    <row r="614" ht="15.75" customHeight="1">
      <c r="E614" s="42"/>
      <c r="F614" s="40"/>
      <c r="G614" s="42"/>
      <c r="H614" s="42"/>
    </row>
    <row r="615" ht="15.75" customHeight="1">
      <c r="E615" s="42"/>
      <c r="F615" s="40"/>
      <c r="G615" s="42"/>
      <c r="H615" s="42"/>
    </row>
    <row r="616" ht="15.75" customHeight="1">
      <c r="E616" s="42"/>
      <c r="F616" s="40"/>
      <c r="G616" s="42"/>
      <c r="H616" s="42"/>
    </row>
    <row r="617" ht="15.75" customHeight="1">
      <c r="E617" s="42"/>
      <c r="F617" s="40"/>
      <c r="G617" s="42"/>
      <c r="H617" s="42"/>
    </row>
    <row r="618" ht="15.75" customHeight="1">
      <c r="E618" s="42"/>
      <c r="F618" s="40"/>
      <c r="G618" s="42"/>
      <c r="H618" s="42"/>
    </row>
    <row r="619" ht="15.75" customHeight="1">
      <c r="E619" s="42"/>
      <c r="F619" s="40"/>
      <c r="G619" s="42"/>
      <c r="H619" s="42"/>
    </row>
    <row r="620" ht="15.75" customHeight="1">
      <c r="E620" s="42"/>
      <c r="F620" s="40"/>
      <c r="G620" s="42"/>
      <c r="H620" s="42"/>
    </row>
    <row r="621" ht="15.75" customHeight="1">
      <c r="E621" s="42"/>
      <c r="F621" s="40"/>
      <c r="G621" s="42"/>
      <c r="H621" s="42"/>
    </row>
    <row r="622" ht="15.75" customHeight="1">
      <c r="E622" s="42"/>
      <c r="F622" s="40"/>
      <c r="G622" s="42"/>
      <c r="H622" s="42"/>
    </row>
    <row r="623" ht="15.75" customHeight="1">
      <c r="E623" s="42"/>
      <c r="F623" s="40"/>
      <c r="G623" s="42"/>
      <c r="H623" s="42"/>
    </row>
    <row r="624" ht="15.75" customHeight="1">
      <c r="E624" s="42"/>
      <c r="F624" s="40"/>
      <c r="G624" s="42"/>
      <c r="H624" s="42"/>
    </row>
    <row r="625" ht="15.75" customHeight="1">
      <c r="E625" s="42"/>
      <c r="F625" s="40"/>
      <c r="G625" s="42"/>
      <c r="H625" s="42"/>
    </row>
    <row r="626" ht="15.75" customHeight="1">
      <c r="E626" s="42"/>
      <c r="F626" s="40"/>
      <c r="G626" s="42"/>
      <c r="H626" s="42"/>
    </row>
    <row r="627" ht="15.75" customHeight="1">
      <c r="E627" s="42"/>
      <c r="F627" s="40"/>
      <c r="G627" s="42"/>
      <c r="H627" s="42"/>
    </row>
    <row r="628" ht="15.75" customHeight="1">
      <c r="E628" s="42"/>
      <c r="F628" s="40"/>
      <c r="G628" s="42"/>
      <c r="H628" s="42"/>
    </row>
    <row r="629" ht="15.75" customHeight="1">
      <c r="E629" s="42"/>
      <c r="F629" s="40"/>
      <c r="G629" s="42"/>
      <c r="H629" s="42"/>
    </row>
    <row r="630" ht="15.75" customHeight="1">
      <c r="E630" s="42"/>
      <c r="F630" s="40"/>
      <c r="G630" s="42"/>
      <c r="H630" s="42"/>
    </row>
    <row r="631" ht="15.75" customHeight="1">
      <c r="E631" s="42"/>
      <c r="F631" s="40"/>
      <c r="G631" s="42"/>
      <c r="H631" s="42"/>
    </row>
    <row r="632" ht="15.75" customHeight="1">
      <c r="E632" s="42"/>
      <c r="F632" s="40"/>
      <c r="G632" s="42"/>
      <c r="H632" s="42"/>
    </row>
    <row r="633" ht="15.75" customHeight="1">
      <c r="E633" s="42"/>
      <c r="F633" s="40"/>
      <c r="G633" s="42"/>
      <c r="H633" s="42"/>
    </row>
    <row r="634" ht="15.75" customHeight="1">
      <c r="E634" s="42"/>
      <c r="F634" s="40"/>
      <c r="G634" s="42"/>
      <c r="H634" s="42"/>
    </row>
    <row r="635" ht="15.75" customHeight="1">
      <c r="E635" s="42"/>
      <c r="F635" s="40"/>
      <c r="G635" s="42"/>
      <c r="H635" s="42"/>
    </row>
    <row r="636" ht="15.75" customHeight="1">
      <c r="E636" s="42"/>
      <c r="F636" s="40"/>
      <c r="G636" s="42"/>
      <c r="H636" s="42"/>
    </row>
    <row r="637" ht="15.75" customHeight="1">
      <c r="E637" s="42"/>
      <c r="F637" s="40"/>
      <c r="G637" s="42"/>
      <c r="H637" s="42"/>
    </row>
    <row r="638" ht="15.75" customHeight="1">
      <c r="E638" s="42"/>
      <c r="F638" s="40"/>
      <c r="G638" s="42"/>
      <c r="H638" s="42"/>
    </row>
    <row r="639" ht="15.75" customHeight="1">
      <c r="E639" s="42"/>
      <c r="F639" s="40"/>
      <c r="G639" s="42"/>
      <c r="H639" s="42"/>
    </row>
    <row r="640" ht="15.75" customHeight="1">
      <c r="E640" s="42"/>
      <c r="F640" s="40"/>
      <c r="G640" s="42"/>
      <c r="H640" s="42"/>
    </row>
    <row r="641" ht="15.75" customHeight="1">
      <c r="E641" s="42"/>
      <c r="F641" s="40"/>
      <c r="G641" s="42"/>
      <c r="H641" s="42"/>
    </row>
    <row r="642" ht="15.75" customHeight="1">
      <c r="E642" s="42"/>
      <c r="F642" s="40"/>
      <c r="G642" s="42"/>
      <c r="H642" s="42"/>
    </row>
    <row r="643" ht="15.75" customHeight="1">
      <c r="E643" s="42"/>
      <c r="F643" s="40"/>
      <c r="G643" s="42"/>
      <c r="H643" s="42"/>
    </row>
    <row r="644" ht="15.75" customHeight="1">
      <c r="E644" s="42"/>
      <c r="F644" s="40"/>
      <c r="G644" s="42"/>
      <c r="H644" s="42"/>
    </row>
    <row r="645" ht="15.75" customHeight="1">
      <c r="E645" s="42"/>
      <c r="F645" s="40"/>
      <c r="G645" s="42"/>
      <c r="H645" s="42"/>
    </row>
    <row r="646" ht="15.75" customHeight="1">
      <c r="E646" s="42"/>
      <c r="F646" s="40"/>
      <c r="G646" s="42"/>
      <c r="H646" s="42"/>
    </row>
    <row r="647" ht="15.75" customHeight="1">
      <c r="E647" s="42"/>
      <c r="F647" s="40"/>
      <c r="G647" s="42"/>
      <c r="H647" s="42"/>
    </row>
    <row r="648" ht="15.75" customHeight="1">
      <c r="E648" s="42"/>
      <c r="F648" s="40"/>
      <c r="G648" s="42"/>
      <c r="H648" s="42"/>
    </row>
    <row r="649" ht="15.75" customHeight="1">
      <c r="E649" s="42"/>
      <c r="F649" s="40"/>
      <c r="G649" s="42"/>
      <c r="H649" s="42"/>
    </row>
    <row r="650" ht="15.75" customHeight="1">
      <c r="E650" s="42"/>
      <c r="F650" s="40"/>
      <c r="G650" s="42"/>
      <c r="H650" s="42"/>
    </row>
    <row r="651" ht="15.75" customHeight="1">
      <c r="E651" s="42"/>
      <c r="F651" s="40"/>
      <c r="G651" s="42"/>
      <c r="H651" s="42"/>
    </row>
    <row r="652" ht="15.75" customHeight="1">
      <c r="E652" s="42"/>
      <c r="F652" s="40"/>
      <c r="G652" s="42"/>
      <c r="H652" s="42"/>
    </row>
    <row r="653" ht="15.75" customHeight="1">
      <c r="E653" s="42"/>
      <c r="F653" s="40"/>
      <c r="G653" s="42"/>
      <c r="H653" s="42"/>
    </row>
    <row r="654" ht="15.75" customHeight="1">
      <c r="E654" s="42"/>
      <c r="F654" s="40"/>
      <c r="G654" s="42"/>
      <c r="H654" s="42"/>
    </row>
    <row r="655" ht="15.75" customHeight="1">
      <c r="E655" s="42"/>
      <c r="F655" s="40"/>
      <c r="G655" s="42"/>
      <c r="H655" s="42"/>
    </row>
    <row r="656" ht="15.75" customHeight="1">
      <c r="E656" s="42"/>
      <c r="F656" s="40"/>
      <c r="G656" s="42"/>
      <c r="H656" s="42"/>
    </row>
    <row r="657" ht="15.75" customHeight="1">
      <c r="E657" s="42"/>
      <c r="F657" s="40"/>
      <c r="G657" s="42"/>
      <c r="H657" s="42"/>
    </row>
    <row r="658" ht="15.75" customHeight="1">
      <c r="E658" s="42"/>
      <c r="F658" s="40"/>
      <c r="G658" s="42"/>
      <c r="H658" s="42"/>
    </row>
    <row r="659" ht="15.75" customHeight="1">
      <c r="E659" s="42"/>
      <c r="F659" s="40"/>
      <c r="G659" s="42"/>
      <c r="H659" s="42"/>
    </row>
    <row r="660" ht="15.75" customHeight="1">
      <c r="E660" s="42"/>
      <c r="F660" s="40"/>
      <c r="G660" s="42"/>
      <c r="H660" s="42"/>
    </row>
    <row r="661" ht="15.75" customHeight="1">
      <c r="E661" s="42"/>
      <c r="F661" s="40"/>
      <c r="G661" s="42"/>
      <c r="H661" s="42"/>
    </row>
    <row r="662" ht="15.75" customHeight="1">
      <c r="E662" s="42"/>
      <c r="F662" s="40"/>
      <c r="G662" s="42"/>
      <c r="H662" s="42"/>
    </row>
    <row r="663" ht="15.75" customHeight="1">
      <c r="E663" s="42"/>
      <c r="F663" s="40"/>
      <c r="G663" s="42"/>
      <c r="H663" s="42"/>
    </row>
    <row r="664" ht="15.75" customHeight="1">
      <c r="E664" s="42"/>
      <c r="F664" s="40"/>
      <c r="G664" s="42"/>
      <c r="H664" s="42"/>
    </row>
    <row r="665" ht="15.75" customHeight="1">
      <c r="E665" s="42"/>
      <c r="F665" s="40"/>
      <c r="G665" s="42"/>
      <c r="H665" s="42"/>
    </row>
    <row r="666" ht="15.75" customHeight="1">
      <c r="E666" s="42"/>
      <c r="F666" s="40"/>
      <c r="G666" s="42"/>
      <c r="H666" s="42"/>
    </row>
    <row r="667" ht="15.75" customHeight="1">
      <c r="E667" s="42"/>
      <c r="F667" s="40"/>
      <c r="G667" s="42"/>
      <c r="H667" s="42"/>
    </row>
    <row r="668" ht="15.75" customHeight="1">
      <c r="E668" s="42"/>
      <c r="F668" s="40"/>
      <c r="G668" s="42"/>
      <c r="H668" s="42"/>
    </row>
    <row r="669" ht="15.75" customHeight="1">
      <c r="E669" s="42"/>
      <c r="F669" s="40"/>
      <c r="G669" s="42"/>
      <c r="H669" s="42"/>
    </row>
    <row r="670" ht="15.75" customHeight="1">
      <c r="E670" s="42"/>
      <c r="F670" s="40"/>
      <c r="G670" s="42"/>
      <c r="H670" s="42"/>
    </row>
    <row r="671" ht="15.75" customHeight="1">
      <c r="E671" s="42"/>
      <c r="F671" s="40"/>
      <c r="G671" s="42"/>
      <c r="H671" s="42"/>
    </row>
    <row r="672" ht="15.75" customHeight="1">
      <c r="E672" s="42"/>
      <c r="F672" s="40"/>
      <c r="G672" s="42"/>
      <c r="H672" s="42"/>
    </row>
    <row r="673" ht="15.75" customHeight="1">
      <c r="E673" s="42"/>
      <c r="F673" s="40"/>
      <c r="G673" s="42"/>
      <c r="H673" s="42"/>
    </row>
    <row r="674" ht="15.75" customHeight="1">
      <c r="E674" s="42"/>
      <c r="F674" s="40"/>
      <c r="G674" s="42"/>
      <c r="H674" s="42"/>
    </row>
    <row r="675" ht="15.75" customHeight="1">
      <c r="E675" s="42"/>
      <c r="F675" s="40"/>
      <c r="G675" s="42"/>
      <c r="H675" s="42"/>
    </row>
    <row r="676" ht="15.75" customHeight="1">
      <c r="E676" s="42"/>
      <c r="F676" s="40"/>
      <c r="G676" s="42"/>
      <c r="H676" s="42"/>
    </row>
    <row r="677" ht="15.75" customHeight="1">
      <c r="E677" s="42"/>
      <c r="F677" s="40"/>
      <c r="G677" s="42"/>
      <c r="H677" s="42"/>
    </row>
    <row r="678" ht="15.75" customHeight="1">
      <c r="E678" s="42"/>
      <c r="F678" s="40"/>
      <c r="G678" s="42"/>
      <c r="H678" s="42"/>
    </row>
    <row r="679" ht="15.75" customHeight="1">
      <c r="E679" s="42"/>
      <c r="F679" s="40"/>
      <c r="G679" s="42"/>
      <c r="H679" s="42"/>
    </row>
    <row r="680" ht="15.75" customHeight="1">
      <c r="E680" s="42"/>
      <c r="F680" s="40"/>
      <c r="G680" s="42"/>
      <c r="H680" s="42"/>
    </row>
    <row r="681" ht="15.75" customHeight="1">
      <c r="E681" s="42"/>
      <c r="F681" s="40"/>
      <c r="G681" s="42"/>
      <c r="H681" s="42"/>
    </row>
    <row r="682" ht="15.75" customHeight="1">
      <c r="E682" s="42"/>
      <c r="F682" s="40"/>
      <c r="G682" s="42"/>
      <c r="H682" s="42"/>
    </row>
    <row r="683" ht="15.75" customHeight="1">
      <c r="E683" s="42"/>
      <c r="F683" s="40"/>
      <c r="G683" s="42"/>
      <c r="H683" s="42"/>
    </row>
    <row r="684" ht="15.75" customHeight="1">
      <c r="E684" s="42"/>
      <c r="F684" s="40"/>
      <c r="G684" s="42"/>
      <c r="H684" s="42"/>
    </row>
    <row r="685" ht="15.75" customHeight="1">
      <c r="E685" s="42"/>
      <c r="F685" s="40"/>
      <c r="G685" s="42"/>
      <c r="H685" s="42"/>
    </row>
    <row r="686" ht="15.75" customHeight="1">
      <c r="E686" s="42"/>
      <c r="F686" s="40"/>
      <c r="G686" s="42"/>
      <c r="H686" s="42"/>
    </row>
    <row r="687" ht="15.75" customHeight="1">
      <c r="E687" s="42"/>
      <c r="F687" s="40"/>
      <c r="G687" s="42"/>
      <c r="H687" s="42"/>
    </row>
    <row r="688" ht="15.75" customHeight="1">
      <c r="E688" s="42"/>
      <c r="F688" s="40"/>
      <c r="G688" s="42"/>
      <c r="H688" s="42"/>
    </row>
    <row r="689" ht="15.75" customHeight="1">
      <c r="E689" s="42"/>
      <c r="F689" s="40"/>
      <c r="G689" s="42"/>
      <c r="H689" s="42"/>
    </row>
    <row r="690" ht="15.75" customHeight="1">
      <c r="E690" s="42"/>
      <c r="F690" s="40"/>
      <c r="G690" s="42"/>
      <c r="H690" s="42"/>
    </row>
    <row r="691" ht="15.75" customHeight="1">
      <c r="E691" s="42"/>
      <c r="F691" s="40"/>
      <c r="G691" s="42"/>
      <c r="H691" s="42"/>
    </row>
    <row r="692" ht="15.75" customHeight="1">
      <c r="E692" s="42"/>
      <c r="F692" s="40"/>
      <c r="G692" s="42"/>
      <c r="H692" s="42"/>
    </row>
    <row r="693" ht="15.75" customHeight="1">
      <c r="E693" s="42"/>
      <c r="F693" s="40"/>
      <c r="G693" s="42"/>
      <c r="H693" s="42"/>
    </row>
    <row r="694" ht="15.75" customHeight="1">
      <c r="E694" s="42"/>
      <c r="F694" s="40"/>
      <c r="G694" s="42"/>
      <c r="H694" s="42"/>
    </row>
    <row r="695" ht="15.75" customHeight="1">
      <c r="E695" s="42"/>
      <c r="F695" s="40"/>
      <c r="G695" s="42"/>
      <c r="H695" s="42"/>
    </row>
    <row r="696" ht="15.75" customHeight="1">
      <c r="E696" s="42"/>
      <c r="F696" s="40"/>
      <c r="G696" s="42"/>
      <c r="H696" s="42"/>
    </row>
    <row r="697" ht="15.75" customHeight="1">
      <c r="E697" s="42"/>
      <c r="F697" s="40"/>
      <c r="G697" s="42"/>
      <c r="H697" s="42"/>
    </row>
    <row r="698" ht="15.75" customHeight="1">
      <c r="E698" s="42"/>
      <c r="F698" s="40"/>
      <c r="G698" s="42"/>
      <c r="H698" s="42"/>
    </row>
    <row r="699" ht="15.75" customHeight="1">
      <c r="E699" s="42"/>
      <c r="F699" s="40"/>
      <c r="G699" s="42"/>
      <c r="H699" s="42"/>
    </row>
    <row r="700" ht="15.75" customHeight="1">
      <c r="E700" s="42"/>
      <c r="F700" s="40"/>
      <c r="G700" s="42"/>
      <c r="H700" s="42"/>
    </row>
    <row r="701" ht="15.75" customHeight="1">
      <c r="E701" s="42"/>
      <c r="F701" s="40"/>
      <c r="G701" s="42"/>
      <c r="H701" s="42"/>
    </row>
    <row r="702" ht="15.75" customHeight="1">
      <c r="E702" s="42"/>
      <c r="F702" s="40"/>
      <c r="G702" s="42"/>
      <c r="H702" s="42"/>
    </row>
    <row r="703" ht="15.75" customHeight="1">
      <c r="E703" s="42"/>
      <c r="F703" s="40"/>
      <c r="G703" s="42"/>
      <c r="H703" s="42"/>
    </row>
    <row r="704" ht="15.75" customHeight="1">
      <c r="E704" s="42"/>
      <c r="F704" s="40"/>
      <c r="G704" s="42"/>
      <c r="H704" s="42"/>
    </row>
    <row r="705" ht="15.75" customHeight="1">
      <c r="E705" s="42"/>
      <c r="F705" s="40"/>
      <c r="G705" s="42"/>
      <c r="H705" s="42"/>
    </row>
    <row r="706" ht="15.75" customHeight="1">
      <c r="E706" s="42"/>
      <c r="F706" s="40"/>
      <c r="G706" s="42"/>
      <c r="H706" s="42"/>
    </row>
    <row r="707" ht="15.75" customHeight="1">
      <c r="E707" s="42"/>
      <c r="F707" s="40"/>
      <c r="G707" s="42"/>
      <c r="H707" s="42"/>
    </row>
    <row r="708" ht="15.75" customHeight="1">
      <c r="E708" s="42"/>
      <c r="F708" s="40"/>
      <c r="G708" s="42"/>
      <c r="H708" s="42"/>
    </row>
    <row r="709" ht="15.75" customHeight="1">
      <c r="E709" s="42"/>
      <c r="F709" s="40"/>
      <c r="G709" s="42"/>
      <c r="H709" s="42"/>
    </row>
    <row r="710" ht="15.75" customHeight="1">
      <c r="E710" s="42"/>
      <c r="F710" s="40"/>
      <c r="G710" s="42"/>
      <c r="H710" s="42"/>
    </row>
    <row r="711" ht="15.75" customHeight="1">
      <c r="E711" s="42"/>
      <c r="F711" s="40"/>
      <c r="G711" s="42"/>
      <c r="H711" s="42"/>
    </row>
    <row r="712" ht="15.75" customHeight="1">
      <c r="E712" s="42"/>
      <c r="F712" s="40"/>
      <c r="G712" s="42"/>
      <c r="H712" s="42"/>
    </row>
    <row r="713" ht="15.75" customHeight="1">
      <c r="E713" s="42"/>
      <c r="F713" s="40"/>
      <c r="G713" s="42"/>
      <c r="H713" s="42"/>
    </row>
    <row r="714" ht="15.75" customHeight="1">
      <c r="E714" s="42"/>
      <c r="F714" s="40"/>
      <c r="G714" s="42"/>
      <c r="H714" s="42"/>
    </row>
    <row r="715" ht="15.75" customHeight="1">
      <c r="E715" s="42"/>
      <c r="F715" s="40"/>
      <c r="G715" s="42"/>
      <c r="H715" s="42"/>
    </row>
    <row r="716" ht="15.75" customHeight="1">
      <c r="E716" s="42"/>
      <c r="F716" s="40"/>
      <c r="G716" s="42"/>
      <c r="H716" s="42"/>
    </row>
    <row r="717" ht="15.75" customHeight="1">
      <c r="E717" s="42"/>
      <c r="F717" s="40"/>
      <c r="G717" s="42"/>
      <c r="H717" s="42"/>
    </row>
    <row r="718" ht="15.75" customHeight="1">
      <c r="E718" s="42"/>
      <c r="F718" s="40"/>
      <c r="G718" s="42"/>
      <c r="H718" s="42"/>
    </row>
    <row r="719" ht="15.75" customHeight="1">
      <c r="E719" s="42"/>
      <c r="F719" s="40"/>
      <c r="G719" s="42"/>
      <c r="H719" s="42"/>
    </row>
    <row r="720" ht="15.75" customHeight="1">
      <c r="E720" s="42"/>
      <c r="F720" s="40"/>
      <c r="G720" s="42"/>
      <c r="H720" s="42"/>
    </row>
    <row r="721" ht="15.75" customHeight="1">
      <c r="E721" s="42"/>
      <c r="F721" s="40"/>
      <c r="G721" s="42"/>
      <c r="H721" s="42"/>
    </row>
    <row r="722" ht="15.75" customHeight="1">
      <c r="E722" s="42"/>
      <c r="F722" s="40"/>
      <c r="G722" s="42"/>
      <c r="H722" s="42"/>
    </row>
    <row r="723" ht="15.75" customHeight="1">
      <c r="E723" s="42"/>
      <c r="F723" s="40"/>
      <c r="G723" s="42"/>
      <c r="H723" s="42"/>
    </row>
    <row r="724" ht="15.75" customHeight="1">
      <c r="E724" s="42"/>
      <c r="F724" s="40"/>
      <c r="G724" s="42"/>
      <c r="H724" s="42"/>
    </row>
    <row r="725" ht="15.75" customHeight="1">
      <c r="E725" s="42"/>
      <c r="F725" s="40"/>
      <c r="G725" s="42"/>
      <c r="H725" s="42"/>
    </row>
    <row r="726" ht="15.75" customHeight="1">
      <c r="E726" s="42"/>
      <c r="F726" s="40"/>
      <c r="G726" s="42"/>
      <c r="H726" s="42"/>
    </row>
    <row r="727" ht="15.75" customHeight="1">
      <c r="E727" s="42"/>
      <c r="F727" s="40"/>
      <c r="G727" s="42"/>
      <c r="H727" s="42"/>
    </row>
    <row r="728" ht="15.75" customHeight="1">
      <c r="E728" s="42"/>
      <c r="F728" s="40"/>
      <c r="G728" s="42"/>
      <c r="H728" s="42"/>
    </row>
    <row r="729" ht="15.75" customHeight="1">
      <c r="E729" s="42"/>
      <c r="F729" s="40"/>
      <c r="G729" s="42"/>
      <c r="H729" s="42"/>
    </row>
    <row r="730" ht="15.75" customHeight="1">
      <c r="E730" s="42"/>
      <c r="F730" s="40"/>
      <c r="G730" s="42"/>
      <c r="H730" s="42"/>
    </row>
    <row r="731" ht="15.75" customHeight="1">
      <c r="E731" s="42"/>
      <c r="F731" s="40"/>
      <c r="G731" s="42"/>
      <c r="H731" s="42"/>
    </row>
    <row r="732" ht="15.75" customHeight="1">
      <c r="E732" s="42"/>
      <c r="F732" s="40"/>
      <c r="G732" s="42"/>
      <c r="H732" s="42"/>
    </row>
    <row r="733" ht="15.75" customHeight="1">
      <c r="E733" s="42"/>
      <c r="F733" s="40"/>
      <c r="G733" s="42"/>
      <c r="H733" s="42"/>
    </row>
    <row r="734" ht="15.75" customHeight="1">
      <c r="E734" s="42"/>
      <c r="F734" s="40"/>
      <c r="G734" s="42"/>
      <c r="H734" s="42"/>
    </row>
    <row r="735" ht="15.75" customHeight="1">
      <c r="E735" s="42"/>
      <c r="F735" s="40"/>
      <c r="G735" s="42"/>
      <c r="H735" s="42"/>
    </row>
    <row r="736" ht="15.75" customHeight="1">
      <c r="E736" s="42"/>
      <c r="F736" s="40"/>
      <c r="G736" s="42"/>
      <c r="H736" s="42"/>
    </row>
    <row r="737" ht="15.75" customHeight="1">
      <c r="E737" s="42"/>
      <c r="F737" s="40"/>
      <c r="G737" s="42"/>
      <c r="H737" s="42"/>
    </row>
    <row r="738" ht="15.75" customHeight="1">
      <c r="E738" s="42"/>
      <c r="F738" s="40"/>
      <c r="G738" s="42"/>
      <c r="H738" s="42"/>
    </row>
    <row r="739" ht="15.75" customHeight="1">
      <c r="E739" s="42"/>
      <c r="F739" s="40"/>
      <c r="G739" s="42"/>
      <c r="H739" s="42"/>
    </row>
    <row r="740" ht="15.75" customHeight="1">
      <c r="E740" s="42"/>
      <c r="F740" s="40"/>
      <c r="G740" s="42"/>
      <c r="H740" s="42"/>
    </row>
    <row r="741" ht="15.75" customHeight="1">
      <c r="E741" s="42"/>
      <c r="F741" s="40"/>
      <c r="G741" s="42"/>
      <c r="H741" s="42"/>
    </row>
    <row r="742" ht="15.75" customHeight="1">
      <c r="E742" s="42"/>
      <c r="F742" s="40"/>
      <c r="G742" s="42"/>
      <c r="H742" s="42"/>
    </row>
    <row r="743" ht="15.75" customHeight="1">
      <c r="E743" s="42"/>
      <c r="F743" s="40"/>
      <c r="G743" s="42"/>
      <c r="H743" s="42"/>
    </row>
    <row r="744" ht="15.75" customHeight="1">
      <c r="E744" s="42"/>
      <c r="F744" s="40"/>
      <c r="G744" s="42"/>
      <c r="H744" s="42"/>
    </row>
    <row r="745" ht="15.75" customHeight="1">
      <c r="E745" s="42"/>
      <c r="F745" s="40"/>
      <c r="G745" s="42"/>
      <c r="H745" s="42"/>
    </row>
    <row r="746" ht="15.75" customHeight="1">
      <c r="E746" s="42"/>
      <c r="F746" s="40"/>
      <c r="G746" s="42"/>
      <c r="H746" s="42"/>
    </row>
    <row r="747" ht="15.75" customHeight="1">
      <c r="E747" s="42"/>
      <c r="F747" s="40"/>
      <c r="G747" s="42"/>
      <c r="H747" s="42"/>
    </row>
    <row r="748" ht="15.75" customHeight="1">
      <c r="E748" s="42"/>
      <c r="F748" s="40"/>
      <c r="G748" s="42"/>
      <c r="H748" s="42"/>
    </row>
    <row r="749" ht="15.75" customHeight="1">
      <c r="E749" s="42"/>
      <c r="F749" s="40"/>
      <c r="G749" s="42"/>
      <c r="H749" s="42"/>
    </row>
    <row r="750" ht="15.75" customHeight="1">
      <c r="E750" s="42"/>
      <c r="F750" s="40"/>
      <c r="G750" s="42"/>
      <c r="H750" s="42"/>
    </row>
    <row r="751" ht="15.75" customHeight="1">
      <c r="E751" s="42"/>
      <c r="F751" s="40"/>
      <c r="G751" s="42"/>
      <c r="H751" s="42"/>
    </row>
    <row r="752" ht="15.75" customHeight="1">
      <c r="E752" s="42"/>
      <c r="F752" s="40"/>
      <c r="G752" s="42"/>
      <c r="H752" s="42"/>
    </row>
    <row r="753" ht="15.75" customHeight="1">
      <c r="E753" s="42"/>
      <c r="F753" s="40"/>
      <c r="G753" s="42"/>
      <c r="H753" s="42"/>
    </row>
    <row r="754" ht="15.75" customHeight="1">
      <c r="E754" s="42"/>
      <c r="F754" s="40"/>
      <c r="G754" s="42"/>
      <c r="H754" s="42"/>
    </row>
    <row r="755" ht="15.75" customHeight="1">
      <c r="E755" s="42"/>
      <c r="F755" s="40"/>
      <c r="G755" s="42"/>
      <c r="H755" s="42"/>
    </row>
    <row r="756" ht="15.75" customHeight="1">
      <c r="E756" s="42"/>
      <c r="F756" s="40"/>
      <c r="G756" s="42"/>
      <c r="H756" s="42"/>
    </row>
    <row r="757" ht="15.75" customHeight="1">
      <c r="E757" s="42"/>
      <c r="F757" s="40"/>
      <c r="G757" s="42"/>
      <c r="H757" s="42"/>
    </row>
    <row r="758" ht="15.75" customHeight="1">
      <c r="E758" s="42"/>
      <c r="F758" s="40"/>
      <c r="G758" s="42"/>
      <c r="H758" s="42"/>
    </row>
    <row r="759" ht="15.75" customHeight="1">
      <c r="E759" s="42"/>
      <c r="F759" s="40"/>
      <c r="G759" s="42"/>
      <c r="H759" s="42"/>
    </row>
    <row r="760" ht="15.75" customHeight="1">
      <c r="E760" s="42"/>
      <c r="F760" s="40"/>
      <c r="G760" s="42"/>
      <c r="H760" s="42"/>
    </row>
    <row r="761" ht="15.75" customHeight="1">
      <c r="E761" s="42"/>
      <c r="F761" s="40"/>
      <c r="G761" s="42"/>
      <c r="H761" s="42"/>
    </row>
    <row r="762" ht="15.75" customHeight="1">
      <c r="E762" s="42"/>
      <c r="F762" s="40"/>
      <c r="G762" s="42"/>
      <c r="H762" s="42"/>
    </row>
    <row r="763" ht="15.75" customHeight="1">
      <c r="E763" s="42"/>
      <c r="F763" s="40"/>
      <c r="G763" s="42"/>
      <c r="H763" s="42"/>
    </row>
    <row r="764" ht="15.75" customHeight="1">
      <c r="E764" s="42"/>
      <c r="F764" s="40"/>
      <c r="G764" s="42"/>
      <c r="H764" s="42"/>
    </row>
    <row r="765" ht="15.75" customHeight="1">
      <c r="E765" s="42"/>
      <c r="F765" s="40"/>
      <c r="G765" s="42"/>
      <c r="H765" s="42"/>
    </row>
    <row r="766" ht="15.75" customHeight="1">
      <c r="E766" s="42"/>
      <c r="F766" s="40"/>
      <c r="G766" s="42"/>
      <c r="H766" s="42"/>
    </row>
    <row r="767" ht="15.75" customHeight="1">
      <c r="E767" s="42"/>
      <c r="F767" s="40"/>
      <c r="G767" s="42"/>
      <c r="H767" s="42"/>
    </row>
    <row r="768" ht="15.75" customHeight="1">
      <c r="E768" s="42"/>
      <c r="F768" s="40"/>
      <c r="G768" s="42"/>
      <c r="H768" s="42"/>
    </row>
    <row r="769" ht="15.75" customHeight="1">
      <c r="E769" s="42"/>
      <c r="F769" s="40"/>
      <c r="G769" s="42"/>
      <c r="H769" s="42"/>
    </row>
    <row r="770" ht="15.75" customHeight="1">
      <c r="E770" s="42"/>
      <c r="F770" s="40"/>
      <c r="G770" s="42"/>
      <c r="H770" s="42"/>
    </row>
    <row r="771" ht="15.75" customHeight="1">
      <c r="E771" s="42"/>
      <c r="F771" s="40"/>
      <c r="G771" s="42"/>
      <c r="H771" s="42"/>
    </row>
    <row r="772" ht="15.75" customHeight="1">
      <c r="E772" s="42"/>
      <c r="F772" s="40"/>
      <c r="G772" s="42"/>
      <c r="H772" s="42"/>
    </row>
    <row r="773" ht="15.75" customHeight="1">
      <c r="E773" s="42"/>
      <c r="F773" s="40"/>
      <c r="G773" s="42"/>
      <c r="H773" s="42"/>
    </row>
    <row r="774" ht="15.75" customHeight="1">
      <c r="E774" s="42"/>
      <c r="F774" s="40"/>
      <c r="G774" s="42"/>
      <c r="H774" s="42"/>
    </row>
    <row r="775" ht="15.75" customHeight="1">
      <c r="E775" s="42"/>
      <c r="F775" s="40"/>
      <c r="G775" s="42"/>
      <c r="H775" s="42"/>
    </row>
    <row r="776" ht="15.75" customHeight="1">
      <c r="E776" s="42"/>
      <c r="F776" s="40"/>
      <c r="G776" s="42"/>
      <c r="H776" s="42"/>
    </row>
    <row r="777" ht="15.75" customHeight="1">
      <c r="E777" s="42"/>
      <c r="F777" s="40"/>
      <c r="G777" s="42"/>
      <c r="H777" s="42"/>
    </row>
    <row r="778" ht="15.75" customHeight="1">
      <c r="E778" s="42"/>
      <c r="F778" s="40"/>
      <c r="G778" s="42"/>
      <c r="H778" s="42"/>
    </row>
    <row r="779" ht="15.75" customHeight="1">
      <c r="E779" s="42"/>
      <c r="F779" s="40"/>
      <c r="G779" s="42"/>
      <c r="H779" s="42"/>
    </row>
    <row r="780" ht="15.75" customHeight="1">
      <c r="E780" s="42"/>
      <c r="F780" s="40"/>
      <c r="G780" s="42"/>
      <c r="H780" s="42"/>
    </row>
    <row r="781" ht="15.75" customHeight="1">
      <c r="E781" s="42"/>
      <c r="F781" s="40"/>
      <c r="G781" s="42"/>
      <c r="H781" s="42"/>
    </row>
    <row r="782" ht="15.75" customHeight="1">
      <c r="E782" s="42"/>
      <c r="F782" s="40"/>
      <c r="G782" s="42"/>
      <c r="H782" s="42"/>
    </row>
    <row r="783" ht="15.75" customHeight="1">
      <c r="E783" s="42"/>
      <c r="F783" s="40"/>
      <c r="G783" s="42"/>
      <c r="H783" s="42"/>
    </row>
    <row r="784" ht="15.75" customHeight="1">
      <c r="E784" s="42"/>
      <c r="F784" s="40"/>
      <c r="G784" s="42"/>
      <c r="H784" s="42"/>
    </row>
    <row r="785" ht="15.75" customHeight="1">
      <c r="E785" s="42"/>
      <c r="F785" s="40"/>
      <c r="G785" s="42"/>
      <c r="H785" s="42"/>
    </row>
    <row r="786" ht="15.75" customHeight="1">
      <c r="E786" s="42"/>
      <c r="F786" s="40"/>
      <c r="G786" s="42"/>
      <c r="H786" s="42"/>
    </row>
    <row r="787" ht="15.75" customHeight="1">
      <c r="E787" s="42"/>
      <c r="F787" s="40"/>
      <c r="G787" s="42"/>
      <c r="H787" s="42"/>
    </row>
    <row r="788" ht="15.75" customHeight="1">
      <c r="E788" s="42"/>
      <c r="F788" s="40"/>
      <c r="G788" s="42"/>
      <c r="H788" s="42"/>
    </row>
    <row r="789" ht="15.75" customHeight="1">
      <c r="E789" s="42"/>
      <c r="F789" s="40"/>
      <c r="G789" s="42"/>
      <c r="H789" s="42"/>
    </row>
    <row r="790" ht="15.75" customHeight="1">
      <c r="E790" s="42"/>
      <c r="F790" s="40"/>
      <c r="G790" s="42"/>
      <c r="H790" s="42"/>
    </row>
    <row r="791" ht="15.75" customHeight="1">
      <c r="E791" s="42"/>
      <c r="F791" s="40"/>
      <c r="G791" s="42"/>
      <c r="H791" s="42"/>
    </row>
    <row r="792" ht="15.75" customHeight="1">
      <c r="E792" s="42"/>
      <c r="F792" s="40"/>
      <c r="G792" s="42"/>
      <c r="H792" s="42"/>
    </row>
    <row r="793" ht="15.75" customHeight="1">
      <c r="E793" s="42"/>
      <c r="F793" s="40"/>
      <c r="G793" s="42"/>
      <c r="H793" s="42"/>
    </row>
    <row r="794" ht="15.75" customHeight="1">
      <c r="E794" s="42"/>
      <c r="F794" s="40"/>
      <c r="G794" s="42"/>
      <c r="H794" s="42"/>
    </row>
    <row r="795" ht="15.75" customHeight="1">
      <c r="E795" s="42"/>
      <c r="F795" s="40"/>
      <c r="G795" s="42"/>
      <c r="H795" s="42"/>
    </row>
    <row r="796" ht="15.75" customHeight="1">
      <c r="E796" s="42"/>
      <c r="F796" s="40"/>
      <c r="G796" s="42"/>
      <c r="H796" s="42"/>
    </row>
    <row r="797" ht="15.75" customHeight="1">
      <c r="E797" s="42"/>
      <c r="F797" s="40"/>
      <c r="G797" s="42"/>
      <c r="H797" s="42"/>
    </row>
    <row r="798" ht="15.75" customHeight="1">
      <c r="E798" s="42"/>
      <c r="F798" s="40"/>
      <c r="G798" s="42"/>
      <c r="H798" s="42"/>
    </row>
    <row r="799" ht="15.75" customHeight="1">
      <c r="E799" s="42"/>
      <c r="F799" s="40"/>
      <c r="G799" s="42"/>
      <c r="H799" s="42"/>
    </row>
    <row r="800" ht="15.75" customHeight="1">
      <c r="E800" s="42"/>
      <c r="F800" s="40"/>
      <c r="G800" s="42"/>
      <c r="H800" s="42"/>
    </row>
    <row r="801" ht="15.75" customHeight="1">
      <c r="E801" s="42"/>
      <c r="F801" s="40"/>
      <c r="G801" s="42"/>
      <c r="H801" s="42"/>
    </row>
    <row r="802" ht="15.75" customHeight="1">
      <c r="E802" s="42"/>
      <c r="F802" s="40"/>
      <c r="G802" s="42"/>
      <c r="H802" s="42"/>
    </row>
    <row r="803" ht="15.75" customHeight="1">
      <c r="E803" s="42"/>
      <c r="F803" s="40"/>
      <c r="G803" s="42"/>
      <c r="H803" s="42"/>
    </row>
    <row r="804" ht="15.75" customHeight="1">
      <c r="E804" s="42"/>
      <c r="F804" s="40"/>
      <c r="G804" s="42"/>
      <c r="H804" s="42"/>
    </row>
    <row r="805" ht="15.75" customHeight="1">
      <c r="E805" s="42"/>
      <c r="F805" s="40"/>
      <c r="G805" s="42"/>
      <c r="H805" s="42"/>
    </row>
    <row r="806" ht="15.75" customHeight="1">
      <c r="E806" s="42"/>
      <c r="F806" s="40"/>
      <c r="G806" s="42"/>
      <c r="H806" s="42"/>
    </row>
    <row r="807" ht="15.75" customHeight="1">
      <c r="E807" s="42"/>
      <c r="F807" s="40"/>
      <c r="G807" s="42"/>
      <c r="H807" s="42"/>
    </row>
    <row r="808" ht="15.75" customHeight="1">
      <c r="E808" s="42"/>
      <c r="F808" s="40"/>
      <c r="G808" s="42"/>
      <c r="H808" s="42"/>
    </row>
    <row r="809" ht="15.75" customHeight="1">
      <c r="E809" s="42"/>
      <c r="F809" s="40"/>
      <c r="G809" s="42"/>
      <c r="H809" s="42"/>
    </row>
    <row r="810" ht="15.75" customHeight="1">
      <c r="E810" s="42"/>
      <c r="F810" s="40"/>
      <c r="G810" s="42"/>
      <c r="H810" s="42"/>
    </row>
    <row r="811" ht="15.75" customHeight="1">
      <c r="E811" s="42"/>
      <c r="F811" s="40"/>
      <c r="G811" s="42"/>
      <c r="H811" s="42"/>
    </row>
    <row r="812" ht="15.75" customHeight="1">
      <c r="E812" s="42"/>
      <c r="F812" s="40"/>
      <c r="G812" s="42"/>
      <c r="H812" s="42"/>
    </row>
    <row r="813" ht="15.75" customHeight="1">
      <c r="E813" s="42"/>
      <c r="F813" s="40"/>
      <c r="G813" s="42"/>
      <c r="H813" s="42"/>
    </row>
    <row r="814" ht="15.75" customHeight="1">
      <c r="E814" s="42"/>
      <c r="F814" s="40"/>
      <c r="G814" s="42"/>
      <c r="H814" s="42"/>
    </row>
    <row r="815" ht="15.75" customHeight="1">
      <c r="E815" s="42"/>
      <c r="F815" s="40"/>
      <c r="G815" s="42"/>
      <c r="H815" s="42"/>
    </row>
    <row r="816" ht="15.75" customHeight="1">
      <c r="E816" s="42"/>
      <c r="F816" s="40"/>
      <c r="G816" s="42"/>
      <c r="H816" s="42"/>
    </row>
    <row r="817" ht="15.75" customHeight="1">
      <c r="E817" s="42"/>
      <c r="F817" s="40"/>
      <c r="G817" s="42"/>
      <c r="H817" s="42"/>
    </row>
    <row r="818" ht="15.75" customHeight="1">
      <c r="E818" s="42"/>
      <c r="F818" s="40"/>
      <c r="G818" s="42"/>
      <c r="H818" s="42"/>
    </row>
    <row r="819" ht="15.75" customHeight="1">
      <c r="E819" s="42"/>
      <c r="F819" s="40"/>
      <c r="G819" s="42"/>
      <c r="H819" s="42"/>
    </row>
    <row r="820" ht="15.75" customHeight="1">
      <c r="E820" s="42"/>
      <c r="F820" s="40"/>
      <c r="G820" s="42"/>
      <c r="H820" s="42"/>
    </row>
    <row r="821" ht="15.75" customHeight="1">
      <c r="E821" s="42"/>
      <c r="F821" s="40"/>
      <c r="G821" s="42"/>
      <c r="H821" s="42"/>
    </row>
    <row r="822" ht="15.75" customHeight="1">
      <c r="E822" s="42"/>
      <c r="F822" s="40"/>
      <c r="G822" s="42"/>
      <c r="H822" s="42"/>
    </row>
    <row r="823" ht="15.75" customHeight="1">
      <c r="E823" s="42"/>
      <c r="F823" s="40"/>
      <c r="G823" s="42"/>
      <c r="H823" s="42"/>
    </row>
    <row r="824" ht="15.75" customHeight="1">
      <c r="E824" s="42"/>
      <c r="F824" s="40"/>
      <c r="G824" s="42"/>
      <c r="H824" s="42"/>
    </row>
    <row r="825" ht="15.75" customHeight="1">
      <c r="E825" s="42"/>
      <c r="F825" s="40"/>
      <c r="G825" s="42"/>
      <c r="H825" s="42"/>
    </row>
    <row r="826" ht="15.75" customHeight="1">
      <c r="E826" s="42"/>
      <c r="F826" s="40"/>
      <c r="G826" s="42"/>
      <c r="H826" s="42"/>
    </row>
    <row r="827" ht="15.75" customHeight="1">
      <c r="E827" s="42"/>
      <c r="F827" s="40"/>
      <c r="G827" s="42"/>
      <c r="H827" s="42"/>
    </row>
    <row r="828" ht="15.75" customHeight="1">
      <c r="E828" s="42"/>
      <c r="F828" s="40"/>
      <c r="G828" s="42"/>
      <c r="H828" s="42"/>
    </row>
    <row r="829" ht="15.75" customHeight="1">
      <c r="E829" s="42"/>
      <c r="F829" s="40"/>
      <c r="G829" s="42"/>
      <c r="H829" s="42"/>
    </row>
    <row r="830" ht="15.75" customHeight="1">
      <c r="E830" s="42"/>
      <c r="F830" s="40"/>
      <c r="G830" s="42"/>
      <c r="H830" s="42"/>
    </row>
    <row r="831" ht="15.75" customHeight="1">
      <c r="E831" s="42"/>
      <c r="F831" s="40"/>
      <c r="G831" s="42"/>
      <c r="H831" s="42"/>
    </row>
    <row r="832" ht="15.75" customHeight="1">
      <c r="E832" s="42"/>
      <c r="F832" s="40"/>
      <c r="G832" s="42"/>
      <c r="H832" s="42"/>
    </row>
    <row r="833" ht="15.75" customHeight="1">
      <c r="E833" s="42"/>
      <c r="F833" s="40"/>
      <c r="G833" s="42"/>
      <c r="H833" s="42"/>
    </row>
    <row r="834" ht="15.75" customHeight="1">
      <c r="E834" s="42"/>
      <c r="F834" s="40"/>
      <c r="G834" s="42"/>
      <c r="H834" s="42"/>
    </row>
    <row r="835" ht="15.75" customHeight="1">
      <c r="E835" s="42"/>
      <c r="F835" s="40"/>
      <c r="G835" s="42"/>
      <c r="H835" s="42"/>
    </row>
    <row r="836" ht="15.75" customHeight="1">
      <c r="E836" s="42"/>
      <c r="F836" s="40"/>
      <c r="G836" s="42"/>
      <c r="H836" s="42"/>
    </row>
    <row r="837" ht="15.75" customHeight="1">
      <c r="E837" s="42"/>
      <c r="F837" s="40"/>
      <c r="G837" s="42"/>
      <c r="H837" s="42"/>
    </row>
    <row r="838" ht="15.75" customHeight="1">
      <c r="E838" s="42"/>
      <c r="F838" s="40"/>
      <c r="G838" s="42"/>
      <c r="H838" s="42"/>
    </row>
    <row r="839" ht="15.75" customHeight="1">
      <c r="E839" s="42"/>
      <c r="F839" s="40"/>
      <c r="G839" s="42"/>
      <c r="H839" s="42"/>
    </row>
    <row r="840" ht="15.75" customHeight="1">
      <c r="E840" s="42"/>
      <c r="F840" s="40"/>
      <c r="G840" s="42"/>
      <c r="H840" s="42"/>
    </row>
    <row r="841" ht="15.75" customHeight="1">
      <c r="E841" s="42"/>
      <c r="F841" s="40"/>
      <c r="G841" s="42"/>
      <c r="H841" s="42"/>
    </row>
    <row r="842" ht="15.75" customHeight="1">
      <c r="E842" s="42"/>
      <c r="F842" s="40"/>
      <c r="G842" s="42"/>
      <c r="H842" s="42"/>
    </row>
    <row r="843" ht="15.75" customHeight="1">
      <c r="E843" s="42"/>
      <c r="F843" s="40"/>
      <c r="G843" s="42"/>
      <c r="H843" s="42"/>
    </row>
    <row r="844" ht="15.75" customHeight="1">
      <c r="E844" s="42"/>
      <c r="F844" s="40"/>
      <c r="G844" s="42"/>
      <c r="H844" s="42"/>
    </row>
    <row r="845" ht="15.75" customHeight="1">
      <c r="E845" s="42"/>
      <c r="F845" s="40"/>
      <c r="G845" s="42"/>
      <c r="H845" s="42"/>
    </row>
    <row r="846" ht="15.75" customHeight="1">
      <c r="E846" s="42"/>
      <c r="F846" s="40"/>
      <c r="G846" s="42"/>
      <c r="H846" s="42"/>
    </row>
    <row r="847" ht="15.75" customHeight="1">
      <c r="E847" s="42"/>
      <c r="F847" s="40"/>
      <c r="G847" s="42"/>
      <c r="H847" s="42"/>
    </row>
    <row r="848" ht="15.75" customHeight="1">
      <c r="E848" s="42"/>
      <c r="F848" s="40"/>
      <c r="G848" s="42"/>
      <c r="H848" s="42"/>
    </row>
    <row r="849" ht="15.75" customHeight="1">
      <c r="E849" s="42"/>
      <c r="F849" s="40"/>
      <c r="G849" s="42"/>
      <c r="H849" s="42"/>
    </row>
    <row r="850" ht="15.75" customHeight="1">
      <c r="E850" s="42"/>
      <c r="F850" s="40"/>
      <c r="G850" s="42"/>
      <c r="H850" s="42"/>
    </row>
    <row r="851" ht="15.75" customHeight="1">
      <c r="E851" s="42"/>
      <c r="F851" s="40"/>
      <c r="G851" s="42"/>
      <c r="H851" s="42"/>
    </row>
    <row r="852" ht="15.75" customHeight="1">
      <c r="E852" s="42"/>
      <c r="F852" s="40"/>
      <c r="G852" s="42"/>
      <c r="H852" s="42"/>
    </row>
    <row r="853" ht="15.75" customHeight="1">
      <c r="E853" s="42"/>
      <c r="F853" s="40"/>
      <c r="G853" s="42"/>
      <c r="H853" s="42"/>
    </row>
    <row r="854" ht="15.75" customHeight="1">
      <c r="E854" s="42"/>
      <c r="F854" s="40"/>
      <c r="G854" s="42"/>
      <c r="H854" s="42"/>
    </row>
    <row r="855" ht="15.75" customHeight="1">
      <c r="E855" s="42"/>
      <c r="F855" s="40"/>
      <c r="G855" s="42"/>
      <c r="H855" s="42"/>
    </row>
    <row r="856" ht="15.75" customHeight="1">
      <c r="E856" s="42"/>
      <c r="F856" s="40"/>
      <c r="G856" s="42"/>
      <c r="H856" s="42"/>
    </row>
    <row r="857" ht="15.75" customHeight="1">
      <c r="E857" s="42"/>
      <c r="F857" s="40"/>
      <c r="G857" s="42"/>
      <c r="H857" s="42"/>
    </row>
    <row r="858" ht="15.75" customHeight="1">
      <c r="E858" s="42"/>
      <c r="F858" s="40"/>
      <c r="G858" s="42"/>
      <c r="H858" s="42"/>
    </row>
    <row r="859" ht="15.75" customHeight="1">
      <c r="E859" s="42"/>
      <c r="F859" s="40"/>
      <c r="G859" s="42"/>
      <c r="H859" s="42"/>
    </row>
    <row r="860" ht="15.75" customHeight="1">
      <c r="E860" s="42"/>
      <c r="F860" s="40"/>
      <c r="G860" s="42"/>
      <c r="H860" s="42"/>
    </row>
    <row r="861" ht="15.75" customHeight="1">
      <c r="E861" s="42"/>
      <c r="F861" s="40"/>
      <c r="G861" s="42"/>
      <c r="H861" s="42"/>
    </row>
    <row r="862" ht="15.75" customHeight="1">
      <c r="E862" s="42"/>
      <c r="F862" s="40"/>
      <c r="G862" s="42"/>
      <c r="H862" s="42"/>
    </row>
    <row r="863" ht="15.75" customHeight="1">
      <c r="E863" s="42"/>
      <c r="F863" s="40"/>
      <c r="G863" s="42"/>
      <c r="H863" s="42"/>
    </row>
    <row r="864" ht="15.75" customHeight="1">
      <c r="E864" s="42"/>
      <c r="F864" s="40"/>
      <c r="G864" s="42"/>
      <c r="H864" s="42"/>
    </row>
    <row r="865" ht="15.75" customHeight="1">
      <c r="E865" s="42"/>
      <c r="F865" s="40"/>
      <c r="G865" s="42"/>
      <c r="H865" s="42"/>
    </row>
    <row r="866" ht="15.75" customHeight="1">
      <c r="E866" s="42"/>
      <c r="F866" s="40"/>
      <c r="G866" s="42"/>
      <c r="H866" s="42"/>
    </row>
    <row r="867" ht="15.75" customHeight="1">
      <c r="E867" s="42"/>
      <c r="F867" s="40"/>
      <c r="G867" s="42"/>
      <c r="H867" s="42"/>
    </row>
    <row r="868" ht="15.75" customHeight="1">
      <c r="E868" s="42"/>
      <c r="F868" s="40"/>
      <c r="G868" s="42"/>
      <c r="H868" s="42"/>
    </row>
    <row r="869" ht="15.75" customHeight="1">
      <c r="E869" s="42"/>
      <c r="F869" s="40"/>
      <c r="G869" s="42"/>
      <c r="H869" s="42"/>
    </row>
    <row r="870" ht="15.75" customHeight="1">
      <c r="E870" s="42"/>
      <c r="F870" s="40"/>
      <c r="G870" s="42"/>
      <c r="H870" s="42"/>
    </row>
    <row r="871" ht="15.75" customHeight="1">
      <c r="E871" s="42"/>
      <c r="F871" s="40"/>
      <c r="G871" s="42"/>
      <c r="H871" s="42"/>
    </row>
    <row r="872" ht="15.75" customHeight="1">
      <c r="E872" s="42"/>
      <c r="F872" s="40"/>
      <c r="G872" s="42"/>
      <c r="H872" s="42"/>
    </row>
    <row r="873" ht="15.75" customHeight="1">
      <c r="E873" s="42"/>
      <c r="F873" s="40"/>
      <c r="G873" s="42"/>
      <c r="H873" s="42"/>
    </row>
    <row r="874" ht="15.75" customHeight="1">
      <c r="E874" s="42"/>
      <c r="F874" s="40"/>
      <c r="G874" s="42"/>
      <c r="H874" s="42"/>
    </row>
    <row r="875" ht="15.75" customHeight="1">
      <c r="E875" s="42"/>
      <c r="F875" s="40"/>
      <c r="G875" s="42"/>
      <c r="H875" s="42"/>
    </row>
    <row r="876" ht="15.75" customHeight="1">
      <c r="E876" s="42"/>
      <c r="F876" s="40"/>
      <c r="G876" s="42"/>
      <c r="H876" s="42"/>
    </row>
    <row r="877" ht="15.75" customHeight="1">
      <c r="E877" s="42"/>
      <c r="F877" s="40"/>
      <c r="G877" s="42"/>
      <c r="H877" s="42"/>
    </row>
    <row r="878" ht="15.75" customHeight="1">
      <c r="E878" s="42"/>
      <c r="F878" s="40"/>
      <c r="G878" s="42"/>
      <c r="H878" s="42"/>
    </row>
    <row r="879" ht="15.75" customHeight="1">
      <c r="E879" s="42"/>
      <c r="F879" s="40"/>
      <c r="G879" s="42"/>
      <c r="H879" s="42"/>
    </row>
    <row r="880" ht="15.75" customHeight="1">
      <c r="E880" s="42"/>
      <c r="F880" s="40"/>
      <c r="G880" s="42"/>
      <c r="H880" s="42"/>
    </row>
    <row r="881" ht="15.75" customHeight="1">
      <c r="E881" s="42"/>
      <c r="F881" s="40"/>
      <c r="G881" s="42"/>
      <c r="H881" s="42"/>
    </row>
    <row r="882" ht="15.75" customHeight="1">
      <c r="E882" s="42"/>
      <c r="F882" s="40"/>
      <c r="G882" s="42"/>
      <c r="H882" s="42"/>
    </row>
    <row r="883" ht="15.75" customHeight="1">
      <c r="E883" s="42"/>
      <c r="F883" s="40"/>
      <c r="G883" s="42"/>
      <c r="H883" s="42"/>
    </row>
    <row r="884" ht="15.75" customHeight="1">
      <c r="E884" s="42"/>
      <c r="F884" s="40"/>
      <c r="G884" s="42"/>
      <c r="H884" s="42"/>
    </row>
    <row r="885" ht="15.75" customHeight="1">
      <c r="E885" s="42"/>
      <c r="F885" s="40"/>
      <c r="G885" s="42"/>
      <c r="H885" s="42"/>
    </row>
    <row r="886" ht="15.75" customHeight="1">
      <c r="E886" s="42"/>
      <c r="F886" s="40"/>
      <c r="G886" s="42"/>
      <c r="H886" s="42"/>
    </row>
    <row r="887" ht="15.75" customHeight="1">
      <c r="E887" s="42"/>
      <c r="F887" s="40"/>
      <c r="G887" s="42"/>
      <c r="H887" s="42"/>
    </row>
    <row r="888" ht="15.75" customHeight="1">
      <c r="E888" s="42"/>
      <c r="F888" s="40"/>
      <c r="G888" s="42"/>
      <c r="H888" s="42"/>
    </row>
    <row r="889" ht="15.75" customHeight="1">
      <c r="E889" s="42"/>
      <c r="F889" s="40"/>
      <c r="G889" s="42"/>
      <c r="H889" s="42"/>
    </row>
    <row r="890" ht="15.75" customHeight="1">
      <c r="E890" s="42"/>
      <c r="F890" s="40"/>
      <c r="G890" s="42"/>
      <c r="H890" s="42"/>
    </row>
    <row r="891" ht="15.75" customHeight="1">
      <c r="E891" s="42"/>
      <c r="F891" s="40"/>
      <c r="G891" s="42"/>
      <c r="H891" s="42"/>
    </row>
    <row r="892" ht="15.75" customHeight="1">
      <c r="E892" s="42"/>
      <c r="F892" s="40"/>
      <c r="G892" s="42"/>
      <c r="H892" s="42"/>
    </row>
    <row r="893" ht="15.75" customHeight="1">
      <c r="E893" s="42"/>
      <c r="F893" s="40"/>
      <c r="G893" s="42"/>
      <c r="H893" s="42"/>
    </row>
    <row r="894" ht="15.75" customHeight="1">
      <c r="E894" s="42"/>
      <c r="F894" s="40"/>
      <c r="G894" s="42"/>
      <c r="H894" s="42"/>
    </row>
    <row r="895" ht="15.75" customHeight="1">
      <c r="E895" s="42"/>
      <c r="F895" s="40"/>
      <c r="G895" s="42"/>
      <c r="H895" s="42"/>
    </row>
    <row r="896" ht="15.75" customHeight="1">
      <c r="E896" s="42"/>
      <c r="F896" s="40"/>
      <c r="G896" s="42"/>
      <c r="H896" s="42"/>
    </row>
    <row r="897" ht="15.75" customHeight="1">
      <c r="E897" s="42"/>
      <c r="F897" s="40"/>
      <c r="G897" s="42"/>
      <c r="H897" s="42"/>
    </row>
    <row r="898" ht="15.75" customHeight="1">
      <c r="E898" s="42"/>
      <c r="F898" s="40"/>
      <c r="G898" s="42"/>
      <c r="H898" s="42"/>
    </row>
    <row r="899" ht="15.75" customHeight="1">
      <c r="E899" s="42"/>
      <c r="F899" s="40"/>
      <c r="G899" s="42"/>
      <c r="H899" s="42"/>
    </row>
    <row r="900" ht="15.75" customHeight="1">
      <c r="E900" s="42"/>
      <c r="F900" s="40"/>
      <c r="G900" s="42"/>
      <c r="H900" s="42"/>
    </row>
    <row r="901" ht="15.75" customHeight="1">
      <c r="E901" s="42"/>
      <c r="F901" s="40"/>
      <c r="G901" s="42"/>
      <c r="H901" s="42"/>
    </row>
    <row r="902" ht="15.75" customHeight="1">
      <c r="E902" s="42"/>
      <c r="F902" s="40"/>
      <c r="G902" s="42"/>
      <c r="H902" s="42"/>
    </row>
    <row r="903" ht="15.75" customHeight="1">
      <c r="E903" s="42"/>
      <c r="F903" s="40"/>
      <c r="G903" s="42"/>
      <c r="H903" s="42"/>
    </row>
    <row r="904" ht="15.75" customHeight="1">
      <c r="E904" s="42"/>
      <c r="F904" s="40"/>
      <c r="G904" s="42"/>
      <c r="H904" s="42"/>
    </row>
    <row r="905" ht="15.75" customHeight="1">
      <c r="E905" s="42"/>
      <c r="F905" s="40"/>
      <c r="G905" s="42"/>
      <c r="H905" s="42"/>
    </row>
    <row r="906" ht="15.75" customHeight="1">
      <c r="E906" s="42"/>
      <c r="F906" s="40"/>
      <c r="G906" s="42"/>
      <c r="H906" s="42"/>
    </row>
    <row r="907" ht="15.75" customHeight="1">
      <c r="E907" s="42"/>
      <c r="F907" s="40"/>
      <c r="G907" s="42"/>
      <c r="H907" s="42"/>
    </row>
    <row r="908" ht="15.75" customHeight="1">
      <c r="E908" s="42"/>
      <c r="F908" s="40"/>
      <c r="G908" s="42"/>
      <c r="H908" s="42"/>
    </row>
    <row r="909" ht="15.75" customHeight="1">
      <c r="E909" s="42"/>
      <c r="F909" s="40"/>
      <c r="G909" s="42"/>
      <c r="H909" s="42"/>
    </row>
    <row r="910" ht="15.75" customHeight="1">
      <c r="E910" s="42"/>
      <c r="F910" s="40"/>
      <c r="G910" s="42"/>
      <c r="H910" s="42"/>
    </row>
    <row r="911" ht="15.75" customHeight="1">
      <c r="E911" s="42"/>
      <c r="F911" s="40"/>
      <c r="G911" s="42"/>
      <c r="H911" s="42"/>
    </row>
    <row r="912" ht="15.75" customHeight="1">
      <c r="E912" s="42"/>
      <c r="F912" s="40"/>
      <c r="G912" s="42"/>
      <c r="H912" s="42"/>
    </row>
    <row r="913" ht="15.75" customHeight="1">
      <c r="E913" s="42"/>
      <c r="F913" s="40"/>
      <c r="G913" s="42"/>
      <c r="H913" s="42"/>
    </row>
    <row r="914" ht="15.75" customHeight="1">
      <c r="E914" s="42"/>
      <c r="F914" s="40"/>
      <c r="G914" s="42"/>
      <c r="H914" s="42"/>
    </row>
    <row r="915" ht="15.75" customHeight="1">
      <c r="E915" s="42"/>
      <c r="F915" s="40"/>
      <c r="G915" s="42"/>
      <c r="H915" s="42"/>
    </row>
    <row r="916" ht="15.75" customHeight="1">
      <c r="E916" s="42"/>
      <c r="F916" s="40"/>
      <c r="G916" s="42"/>
      <c r="H916" s="42"/>
    </row>
    <row r="917" ht="15.75" customHeight="1">
      <c r="E917" s="42"/>
      <c r="F917" s="40"/>
      <c r="G917" s="42"/>
      <c r="H917" s="42"/>
    </row>
    <row r="918" ht="15.75" customHeight="1">
      <c r="E918" s="42"/>
      <c r="F918" s="40"/>
      <c r="G918" s="42"/>
      <c r="H918" s="42"/>
    </row>
    <row r="919" ht="15.75" customHeight="1">
      <c r="E919" s="42"/>
      <c r="F919" s="40"/>
      <c r="G919" s="42"/>
      <c r="H919" s="42"/>
    </row>
    <row r="920" ht="15.75" customHeight="1">
      <c r="E920" s="42"/>
      <c r="F920" s="40"/>
      <c r="G920" s="42"/>
      <c r="H920" s="42"/>
    </row>
    <row r="921" ht="15.75" customHeight="1">
      <c r="E921" s="42"/>
      <c r="F921" s="40"/>
      <c r="G921" s="42"/>
      <c r="H921" s="42"/>
    </row>
    <row r="922" ht="15.75" customHeight="1">
      <c r="E922" s="42"/>
      <c r="F922" s="40"/>
      <c r="G922" s="42"/>
      <c r="H922" s="42"/>
    </row>
    <row r="923" ht="15.75" customHeight="1">
      <c r="E923" s="42"/>
      <c r="F923" s="40"/>
      <c r="G923" s="42"/>
      <c r="H923" s="42"/>
    </row>
    <row r="924" ht="15.75" customHeight="1">
      <c r="E924" s="42"/>
      <c r="F924" s="40"/>
      <c r="G924" s="42"/>
      <c r="H924" s="42"/>
    </row>
    <row r="925" ht="15.75" customHeight="1">
      <c r="E925" s="42"/>
      <c r="F925" s="40"/>
      <c r="G925" s="42"/>
      <c r="H925" s="42"/>
    </row>
    <row r="926" ht="15.75" customHeight="1">
      <c r="E926" s="42"/>
      <c r="F926" s="40"/>
      <c r="G926" s="42"/>
      <c r="H926" s="42"/>
    </row>
    <row r="927" ht="15.75" customHeight="1">
      <c r="E927" s="42"/>
      <c r="F927" s="40"/>
      <c r="G927" s="42"/>
      <c r="H927" s="42"/>
    </row>
    <row r="928" ht="15.75" customHeight="1">
      <c r="E928" s="42"/>
      <c r="F928" s="40"/>
      <c r="G928" s="42"/>
      <c r="H928" s="42"/>
    </row>
    <row r="929" ht="15.75" customHeight="1">
      <c r="E929" s="42"/>
      <c r="F929" s="40"/>
      <c r="G929" s="42"/>
      <c r="H929" s="42"/>
    </row>
    <row r="930" ht="15.75" customHeight="1">
      <c r="E930" s="42"/>
      <c r="F930" s="40"/>
      <c r="G930" s="42"/>
      <c r="H930" s="42"/>
    </row>
    <row r="931" ht="15.75" customHeight="1">
      <c r="E931" s="42"/>
      <c r="F931" s="40"/>
      <c r="G931" s="42"/>
      <c r="H931" s="42"/>
    </row>
    <row r="932" ht="15.75" customHeight="1">
      <c r="E932" s="42"/>
      <c r="F932" s="40"/>
      <c r="G932" s="42"/>
      <c r="H932" s="42"/>
    </row>
    <row r="933" ht="15.75" customHeight="1">
      <c r="E933" s="42"/>
      <c r="F933" s="40"/>
      <c r="G933" s="42"/>
      <c r="H933" s="42"/>
    </row>
    <row r="934" ht="15.75" customHeight="1">
      <c r="E934" s="42"/>
      <c r="F934" s="40"/>
      <c r="G934" s="42"/>
      <c r="H934" s="42"/>
    </row>
    <row r="935" ht="15.75" customHeight="1">
      <c r="E935" s="42"/>
      <c r="F935" s="40"/>
      <c r="G935" s="42"/>
      <c r="H935" s="42"/>
    </row>
    <row r="936" ht="15.75" customHeight="1">
      <c r="E936" s="42"/>
      <c r="F936" s="40"/>
      <c r="G936" s="42"/>
      <c r="H936" s="42"/>
    </row>
    <row r="937" ht="15.75" customHeight="1">
      <c r="E937" s="42"/>
      <c r="F937" s="40"/>
      <c r="G937" s="42"/>
      <c r="H937" s="42"/>
    </row>
    <row r="938" ht="15.75" customHeight="1">
      <c r="E938" s="42"/>
      <c r="F938" s="40"/>
      <c r="G938" s="42"/>
      <c r="H938" s="42"/>
    </row>
    <row r="939" ht="15.75" customHeight="1">
      <c r="E939" s="42"/>
      <c r="F939" s="40"/>
      <c r="G939" s="42"/>
      <c r="H939" s="42"/>
    </row>
    <row r="940" ht="15.75" customHeight="1">
      <c r="E940" s="42"/>
      <c r="F940" s="40"/>
      <c r="G940" s="42"/>
      <c r="H940" s="42"/>
    </row>
    <row r="941" ht="15.75" customHeight="1">
      <c r="E941" s="42"/>
      <c r="F941" s="40"/>
      <c r="G941" s="42"/>
      <c r="H941" s="42"/>
    </row>
    <row r="942" ht="15.75" customHeight="1">
      <c r="E942" s="42"/>
      <c r="F942" s="40"/>
      <c r="G942" s="42"/>
      <c r="H942" s="42"/>
    </row>
    <row r="943" ht="15.75" customHeight="1">
      <c r="E943" s="42"/>
      <c r="F943" s="40"/>
      <c r="G943" s="42"/>
      <c r="H943" s="42"/>
    </row>
    <row r="944" ht="15.75" customHeight="1">
      <c r="E944" s="42"/>
      <c r="F944" s="40"/>
      <c r="G944" s="42"/>
      <c r="H944" s="42"/>
    </row>
    <row r="945" ht="15.75" customHeight="1">
      <c r="E945" s="42"/>
      <c r="F945" s="40"/>
      <c r="G945" s="42"/>
      <c r="H945" s="42"/>
    </row>
    <row r="946" ht="15.75" customHeight="1">
      <c r="E946" s="42"/>
      <c r="F946" s="40"/>
      <c r="G946" s="42"/>
      <c r="H946" s="42"/>
    </row>
    <row r="947" ht="15.75" customHeight="1">
      <c r="E947" s="42"/>
      <c r="F947" s="40"/>
      <c r="G947" s="42"/>
      <c r="H947" s="42"/>
    </row>
    <row r="948" ht="15.75" customHeight="1">
      <c r="E948" s="42"/>
      <c r="F948" s="40"/>
      <c r="G948" s="42"/>
      <c r="H948" s="42"/>
    </row>
    <row r="949" ht="15.75" customHeight="1">
      <c r="E949" s="42"/>
      <c r="F949" s="40"/>
      <c r="G949" s="42"/>
      <c r="H949" s="42"/>
    </row>
    <row r="950" ht="15.75" customHeight="1">
      <c r="E950" s="42"/>
      <c r="F950" s="40"/>
      <c r="G950" s="42"/>
      <c r="H950" s="42"/>
    </row>
    <row r="951" ht="15.75" customHeight="1">
      <c r="E951" s="42"/>
      <c r="F951" s="40"/>
      <c r="G951" s="42"/>
      <c r="H951" s="42"/>
    </row>
    <row r="952" ht="15.75" customHeight="1">
      <c r="E952" s="42"/>
      <c r="F952" s="40"/>
      <c r="G952" s="42"/>
      <c r="H952" s="42"/>
    </row>
    <row r="953" ht="15.75" customHeight="1">
      <c r="E953" s="42"/>
      <c r="F953" s="40"/>
      <c r="G953" s="42"/>
      <c r="H953" s="42"/>
    </row>
    <row r="954" ht="15.75" customHeight="1">
      <c r="E954" s="42"/>
      <c r="F954" s="40"/>
      <c r="G954" s="42"/>
      <c r="H954" s="42"/>
    </row>
    <row r="955" ht="15.75" customHeight="1">
      <c r="E955" s="42"/>
      <c r="F955" s="40"/>
      <c r="G955" s="42"/>
      <c r="H955" s="42"/>
    </row>
    <row r="956" ht="15.75" customHeight="1">
      <c r="E956" s="42"/>
      <c r="F956" s="40"/>
      <c r="G956" s="42"/>
      <c r="H956" s="42"/>
    </row>
    <row r="957" ht="15.75" customHeight="1">
      <c r="E957" s="42"/>
      <c r="F957" s="40"/>
      <c r="G957" s="42"/>
      <c r="H957" s="42"/>
    </row>
    <row r="958" ht="15.75" customHeight="1">
      <c r="E958" s="42"/>
      <c r="F958" s="40"/>
      <c r="G958" s="42"/>
      <c r="H958" s="42"/>
    </row>
    <row r="959" ht="15.75" customHeight="1">
      <c r="E959" s="42"/>
      <c r="F959" s="40"/>
      <c r="G959" s="42"/>
      <c r="H959" s="42"/>
    </row>
    <row r="960" ht="15.75" customHeight="1">
      <c r="E960" s="42"/>
      <c r="F960" s="40"/>
      <c r="G960" s="42"/>
      <c r="H960" s="42"/>
    </row>
    <row r="961" ht="15.75" customHeight="1">
      <c r="E961" s="42"/>
      <c r="F961" s="40"/>
      <c r="G961" s="42"/>
      <c r="H961" s="42"/>
    </row>
    <row r="962" ht="15.75" customHeight="1">
      <c r="E962" s="42"/>
      <c r="F962" s="40"/>
      <c r="G962" s="42"/>
      <c r="H962" s="42"/>
    </row>
    <row r="963" ht="15.75" customHeight="1">
      <c r="E963" s="42"/>
      <c r="F963" s="40"/>
      <c r="G963" s="42"/>
      <c r="H963" s="42"/>
    </row>
    <row r="964" ht="15.75" customHeight="1">
      <c r="E964" s="42"/>
      <c r="F964" s="40"/>
      <c r="G964" s="42"/>
      <c r="H964" s="42"/>
    </row>
    <row r="965" ht="15.75" customHeight="1">
      <c r="E965" s="42"/>
      <c r="F965" s="40"/>
      <c r="G965" s="42"/>
      <c r="H965" s="42"/>
    </row>
    <row r="966" ht="15.75" customHeight="1">
      <c r="E966" s="42"/>
      <c r="F966" s="40"/>
      <c r="G966" s="42"/>
      <c r="H966" s="42"/>
    </row>
    <row r="967" ht="15.75" customHeight="1">
      <c r="E967" s="42"/>
      <c r="F967" s="40"/>
      <c r="G967" s="42"/>
      <c r="H967" s="42"/>
    </row>
    <row r="968" ht="15.75" customHeight="1">
      <c r="E968" s="42"/>
      <c r="F968" s="40"/>
      <c r="G968" s="42"/>
      <c r="H968" s="42"/>
    </row>
    <row r="969" ht="15.75" customHeight="1">
      <c r="E969" s="42"/>
      <c r="F969" s="40"/>
      <c r="G969" s="42"/>
      <c r="H969" s="42"/>
    </row>
    <row r="970" ht="15.75" customHeight="1">
      <c r="E970" s="42"/>
      <c r="F970" s="40"/>
      <c r="G970" s="42"/>
      <c r="H970" s="42"/>
    </row>
    <row r="971" ht="15.75" customHeight="1">
      <c r="E971" s="42"/>
      <c r="F971" s="40"/>
      <c r="G971" s="42"/>
      <c r="H971" s="42"/>
    </row>
    <row r="972" ht="15.75" customHeight="1">
      <c r="E972" s="42"/>
      <c r="F972" s="40"/>
      <c r="G972" s="42"/>
      <c r="H972" s="42"/>
    </row>
    <row r="973" ht="15.75" customHeight="1">
      <c r="E973" s="42"/>
      <c r="F973" s="40"/>
      <c r="G973" s="42"/>
      <c r="H973" s="42"/>
    </row>
    <row r="974" ht="15.75" customHeight="1">
      <c r="E974" s="42"/>
      <c r="F974" s="40"/>
      <c r="G974" s="42"/>
      <c r="H974" s="42"/>
    </row>
    <row r="975" ht="15.75" customHeight="1">
      <c r="E975" s="42"/>
      <c r="F975" s="40"/>
      <c r="G975" s="42"/>
      <c r="H975" s="42"/>
    </row>
    <row r="976" ht="15.75" customHeight="1">
      <c r="E976" s="42"/>
      <c r="F976" s="40"/>
      <c r="G976" s="42"/>
      <c r="H976" s="42"/>
    </row>
    <row r="977" ht="15.75" customHeight="1">
      <c r="E977" s="42"/>
      <c r="F977" s="40"/>
      <c r="G977" s="42"/>
      <c r="H977" s="42"/>
    </row>
    <row r="978" ht="15.75" customHeight="1">
      <c r="E978" s="42"/>
      <c r="F978" s="40"/>
      <c r="G978" s="42"/>
      <c r="H978" s="42"/>
    </row>
    <row r="979" ht="15.75" customHeight="1">
      <c r="E979" s="42"/>
      <c r="F979" s="40"/>
      <c r="G979" s="42"/>
      <c r="H979" s="42"/>
    </row>
    <row r="980" ht="15.75" customHeight="1">
      <c r="E980" s="42"/>
      <c r="F980" s="40"/>
      <c r="G980" s="42"/>
      <c r="H980" s="42"/>
    </row>
    <row r="981" ht="15.75" customHeight="1">
      <c r="E981" s="42"/>
      <c r="F981" s="40"/>
      <c r="G981" s="42"/>
      <c r="H981" s="42"/>
    </row>
    <row r="982" ht="15.75" customHeight="1">
      <c r="E982" s="42"/>
      <c r="F982" s="40"/>
      <c r="G982" s="42"/>
      <c r="H982" s="42"/>
    </row>
    <row r="983" ht="15.75" customHeight="1">
      <c r="E983" s="42"/>
      <c r="F983" s="40"/>
      <c r="G983" s="42"/>
      <c r="H983" s="42"/>
    </row>
    <row r="984" ht="15.75" customHeight="1">
      <c r="E984" s="42"/>
      <c r="F984" s="40"/>
      <c r="G984" s="42"/>
      <c r="H984" s="42"/>
    </row>
    <row r="985" ht="15.75" customHeight="1">
      <c r="E985" s="42"/>
      <c r="F985" s="40"/>
      <c r="G985" s="42"/>
      <c r="H985" s="42"/>
    </row>
    <row r="986" ht="15.75" customHeight="1">
      <c r="E986" s="42"/>
      <c r="F986" s="40"/>
      <c r="G986" s="42"/>
      <c r="H986" s="42"/>
    </row>
    <row r="987" ht="15.75" customHeight="1">
      <c r="E987" s="42"/>
      <c r="F987" s="40"/>
      <c r="G987" s="42"/>
      <c r="H987" s="42"/>
    </row>
    <row r="988" ht="15.75" customHeight="1">
      <c r="E988" s="42"/>
      <c r="F988" s="40"/>
      <c r="G988" s="42"/>
      <c r="H988" s="42"/>
    </row>
    <row r="989" ht="15.75" customHeight="1">
      <c r="E989" s="42"/>
      <c r="F989" s="40"/>
      <c r="G989" s="42"/>
      <c r="H989" s="42"/>
    </row>
    <row r="990" ht="15.75" customHeight="1">
      <c r="E990" s="42"/>
      <c r="F990" s="40"/>
      <c r="G990" s="42"/>
      <c r="H990" s="42"/>
    </row>
    <row r="991" ht="15.75" customHeight="1">
      <c r="E991" s="42"/>
      <c r="F991" s="40"/>
      <c r="G991" s="42"/>
      <c r="H991" s="42"/>
    </row>
    <row r="992" ht="15.75" customHeight="1">
      <c r="E992" s="42"/>
      <c r="F992" s="40"/>
      <c r="G992" s="42"/>
      <c r="H992" s="42"/>
    </row>
    <row r="993" ht="15.75" customHeight="1">
      <c r="E993" s="42"/>
      <c r="F993" s="40"/>
      <c r="G993" s="42"/>
      <c r="H993" s="42"/>
    </row>
    <row r="994" ht="15.75" customHeight="1">
      <c r="E994" s="42"/>
      <c r="F994" s="40"/>
      <c r="G994" s="42"/>
      <c r="H994" s="42"/>
    </row>
    <row r="995" ht="15.75" customHeight="1">
      <c r="E995" s="42"/>
      <c r="F995" s="40"/>
      <c r="G995" s="42"/>
      <c r="H995" s="42"/>
    </row>
  </sheetData>
  <mergeCells count="5">
    <mergeCell ref="A1:A2"/>
    <mergeCell ref="B1:I2"/>
    <mergeCell ref="I4:I5"/>
    <mergeCell ref="A8:I8"/>
    <mergeCell ref="A9:G9"/>
  </mergeCells>
  <conditionalFormatting sqref="H4:H5">
    <cfRule type="colorScale" priority="1">
      <colorScale>
        <cfvo type="min"/>
        <cfvo type="max"/>
        <color rgb="FFFFFFFF"/>
        <color rgb="FFE67C73"/>
      </colorScale>
    </cfRule>
  </conditionalFormatting>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pageSetUpPr/>
  </sheetPr>
  <sheetViews>
    <sheetView workbookViewId="0"/>
  </sheetViews>
  <sheetFormatPr customHeight="1" defaultColWidth="14.43" defaultRowHeight="15.0"/>
  <cols>
    <col customWidth="1" min="1" max="1" width="22.86"/>
    <col customWidth="1" min="2" max="2" width="7.86"/>
    <col customWidth="1" min="3" max="3" width="6.86"/>
    <col customWidth="1" min="4" max="4" width="8.14"/>
    <col customWidth="1" min="5" max="5" width="14.29"/>
    <col customWidth="1" min="6" max="6" width="9.71"/>
    <col customWidth="1" min="7" max="7" width="8.14"/>
    <col customWidth="1" min="8" max="8" width="7.43"/>
    <col customWidth="1" min="9" max="9" width="11.57"/>
    <col customWidth="1" min="10" max="28" width="8.71"/>
  </cols>
  <sheetData>
    <row r="1">
      <c r="A1" s="101" t="s">
        <v>228</v>
      </c>
      <c r="B1" s="49" t="s">
        <v>450</v>
      </c>
      <c r="C1" s="50"/>
      <c r="D1" s="50"/>
      <c r="E1" s="50"/>
      <c r="F1" s="50"/>
      <c r="G1" s="50"/>
      <c r="H1" s="50"/>
      <c r="I1" s="51"/>
    </row>
    <row r="2">
      <c r="A2" s="52"/>
      <c r="B2" s="53"/>
      <c r="C2" s="54"/>
      <c r="D2" s="54"/>
      <c r="E2" s="54"/>
      <c r="F2" s="54"/>
      <c r="G2" s="54"/>
      <c r="H2" s="54"/>
      <c r="I2" s="55"/>
    </row>
    <row r="3">
      <c r="A3" s="56" t="s">
        <v>0</v>
      </c>
      <c r="B3" s="56" t="s">
        <v>230</v>
      </c>
      <c r="C3" s="56" t="s">
        <v>231</v>
      </c>
      <c r="D3" s="56" t="s">
        <v>1</v>
      </c>
      <c r="E3" s="57" t="s">
        <v>296</v>
      </c>
      <c r="F3" s="163" t="s">
        <v>233</v>
      </c>
      <c r="G3" s="57" t="s">
        <v>234</v>
      </c>
      <c r="H3" s="57" t="s">
        <v>235</v>
      </c>
      <c r="I3" s="57" t="s">
        <v>451</v>
      </c>
    </row>
    <row r="4">
      <c r="A4" s="4" t="s">
        <v>16</v>
      </c>
      <c r="B4" s="4">
        <v>15.0</v>
      </c>
      <c r="C4" s="4">
        <v>15.0</v>
      </c>
      <c r="D4" s="4" t="s">
        <v>6</v>
      </c>
      <c r="E4" s="32">
        <f t="shared" ref="E4:E17" si="1">B4-C4</f>
        <v>0</v>
      </c>
      <c r="F4" s="34">
        <f t="shared" ref="F4:F18" si="2">E4/B4*100</f>
        <v>0</v>
      </c>
      <c r="G4" s="34">
        <f>VLOOKUP(A4,'Матрица поставщиков'!A1:E43,5,False) * B4</f>
        <v>14.96666667</v>
      </c>
      <c r="H4" s="59" t="str">
        <f t="shared" ref="H4:H19" si="3">G4/$G$19</f>
        <v>#REF!</v>
      </c>
      <c r="I4" s="80"/>
    </row>
    <row r="5">
      <c r="A5" s="4" t="s">
        <v>21</v>
      </c>
      <c r="B5" s="4">
        <v>40.0</v>
      </c>
      <c r="C5" s="4">
        <v>40.0</v>
      </c>
      <c r="D5" s="4" t="s">
        <v>6</v>
      </c>
      <c r="E5" s="32">
        <f t="shared" si="1"/>
        <v>0</v>
      </c>
      <c r="F5" s="34">
        <f t="shared" si="2"/>
        <v>0</v>
      </c>
      <c r="G5" s="34">
        <f>VLOOKUP(A5,'Матрица поставщиков'!A1:E43,5,False) * B5</f>
        <v>4.12</v>
      </c>
      <c r="H5" s="59" t="str">
        <f t="shared" si="3"/>
        <v>#REF!</v>
      </c>
      <c r="I5" s="81"/>
    </row>
    <row r="6">
      <c r="A6" s="6" t="s">
        <v>452</v>
      </c>
      <c r="B6" s="4">
        <v>40.0</v>
      </c>
      <c r="C6" s="4">
        <v>40.0</v>
      </c>
      <c r="D6" s="4" t="s">
        <v>12</v>
      </c>
      <c r="E6" s="32">
        <f t="shared" si="1"/>
        <v>0</v>
      </c>
      <c r="F6" s="34">
        <f t="shared" si="2"/>
        <v>0</v>
      </c>
      <c r="G6" s="34" t="str">
        <f>'п/ф луковый сок'!G5/'п/ф луковый сок'!I5 *B6</f>
        <v>#REF!</v>
      </c>
      <c r="H6" s="59" t="str">
        <f t="shared" si="3"/>
        <v>#REF!</v>
      </c>
      <c r="I6" s="81"/>
    </row>
    <row r="7">
      <c r="A7" s="6" t="s">
        <v>19</v>
      </c>
      <c r="B7" s="4">
        <v>2.0</v>
      </c>
      <c r="C7" s="4">
        <v>2.0</v>
      </c>
      <c r="D7" s="4" t="s">
        <v>6</v>
      </c>
      <c r="E7" s="32">
        <f t="shared" si="1"/>
        <v>0</v>
      </c>
      <c r="F7" s="34">
        <f t="shared" si="2"/>
        <v>0</v>
      </c>
      <c r="G7" s="34">
        <f>VLOOKUP(A7,'Матрица поставщиков'!A1:E43,5,False) * B7</f>
        <v>1.656</v>
      </c>
      <c r="H7" s="59" t="str">
        <f t="shared" si="3"/>
        <v>#REF!</v>
      </c>
      <c r="I7" s="81"/>
    </row>
    <row r="8">
      <c r="A8" s="4" t="s">
        <v>8</v>
      </c>
      <c r="B8" s="4">
        <v>2.0</v>
      </c>
      <c r="C8" s="4">
        <v>2.0</v>
      </c>
      <c r="D8" s="4" t="s">
        <v>6</v>
      </c>
      <c r="E8" s="32">
        <f t="shared" si="1"/>
        <v>0</v>
      </c>
      <c r="F8" s="34">
        <f t="shared" si="2"/>
        <v>0</v>
      </c>
      <c r="G8" s="34">
        <f>VLOOKUP(A8,'Матрица поставщиков'!A1:E43,5,False) * B8</f>
        <v>3.336986301</v>
      </c>
      <c r="H8" s="59" t="str">
        <f t="shared" si="3"/>
        <v>#REF!</v>
      </c>
      <c r="I8" s="81"/>
    </row>
    <row r="9">
      <c r="A9" s="4" t="s">
        <v>18</v>
      </c>
      <c r="B9" s="4">
        <v>2.0</v>
      </c>
      <c r="C9" s="4">
        <v>2.0</v>
      </c>
      <c r="D9" s="4" t="s">
        <v>6</v>
      </c>
      <c r="E9" s="32">
        <f t="shared" si="1"/>
        <v>0</v>
      </c>
      <c r="F9" s="34">
        <f t="shared" si="2"/>
        <v>0</v>
      </c>
      <c r="G9" s="34">
        <f>VLOOKUP(A9,'Матрица поставщиков'!A1:E43,5,False) * B9</f>
        <v>3.766666667</v>
      </c>
      <c r="H9" s="59" t="str">
        <f t="shared" si="3"/>
        <v>#REF!</v>
      </c>
      <c r="I9" s="81"/>
    </row>
    <row r="10">
      <c r="A10" s="4" t="s">
        <v>23</v>
      </c>
      <c r="B10" s="4">
        <v>2.0</v>
      </c>
      <c r="C10" s="4">
        <v>2.0</v>
      </c>
      <c r="D10" s="4" t="s">
        <v>6</v>
      </c>
      <c r="E10" s="32">
        <f t="shared" si="1"/>
        <v>0</v>
      </c>
      <c r="F10" s="34">
        <f t="shared" si="2"/>
        <v>0</v>
      </c>
      <c r="G10" s="34">
        <f>VLOOKUP(A10,'Матрица поставщиков'!A1:E43,5,False) * B10</f>
        <v>2.114</v>
      </c>
      <c r="H10" s="59" t="str">
        <f t="shared" si="3"/>
        <v>#REF!</v>
      </c>
      <c r="I10" s="81"/>
    </row>
    <row r="11">
      <c r="A11" s="4" t="s">
        <v>13</v>
      </c>
      <c r="B11" s="4">
        <v>45.0</v>
      </c>
      <c r="C11" s="4">
        <v>45.0</v>
      </c>
      <c r="D11" s="4" t="s">
        <v>6</v>
      </c>
      <c r="E11" s="32">
        <f t="shared" si="1"/>
        <v>0</v>
      </c>
      <c r="F11" s="34">
        <f t="shared" si="2"/>
        <v>0</v>
      </c>
      <c r="G11" s="34">
        <f>VLOOKUP(A11,'Матрица поставщиков'!A1:E43,5,False) * B11</f>
        <v>5.481</v>
      </c>
      <c r="H11" s="59" t="str">
        <f t="shared" si="3"/>
        <v>#REF!</v>
      </c>
      <c r="I11" s="81"/>
    </row>
    <row r="12">
      <c r="A12" s="4" t="s">
        <v>20</v>
      </c>
      <c r="B12" s="4">
        <v>2.0</v>
      </c>
      <c r="C12" s="4">
        <v>2.0</v>
      </c>
      <c r="D12" s="4" t="s">
        <v>6</v>
      </c>
      <c r="E12" s="32">
        <f t="shared" si="1"/>
        <v>0</v>
      </c>
      <c r="F12" s="34">
        <f t="shared" si="2"/>
        <v>0</v>
      </c>
      <c r="G12" s="34">
        <f>VLOOKUP(A12,'Матрица поставщиков'!A1:E43,5,False) * B12</f>
        <v>2.432653061</v>
      </c>
      <c r="H12" s="59" t="str">
        <f t="shared" si="3"/>
        <v>#REF!</v>
      </c>
      <c r="I12" s="81"/>
    </row>
    <row r="13">
      <c r="A13" s="4" t="s">
        <v>5</v>
      </c>
      <c r="B13" s="4">
        <v>2.0</v>
      </c>
      <c r="C13" s="4">
        <v>2.0</v>
      </c>
      <c r="D13" s="4" t="s">
        <v>6</v>
      </c>
      <c r="E13" s="32">
        <f t="shared" si="1"/>
        <v>0</v>
      </c>
      <c r="F13" s="34">
        <f t="shared" si="2"/>
        <v>0</v>
      </c>
      <c r="G13" s="34">
        <f>VLOOKUP(A13,'Матрица поставщиков'!A1:E43,5,False) * B13</f>
        <v>2.4875</v>
      </c>
      <c r="H13" s="59" t="str">
        <f t="shared" si="3"/>
        <v>#REF!</v>
      </c>
      <c r="I13" s="81"/>
    </row>
    <row r="14">
      <c r="A14" s="4" t="s">
        <v>11</v>
      </c>
      <c r="B14" s="4">
        <v>10.0</v>
      </c>
      <c r="C14" s="4">
        <v>10.0</v>
      </c>
      <c r="D14" s="4" t="s">
        <v>6</v>
      </c>
      <c r="E14" s="32">
        <f t="shared" si="1"/>
        <v>0</v>
      </c>
      <c r="F14" s="34">
        <f t="shared" si="2"/>
        <v>0</v>
      </c>
      <c r="G14" s="34">
        <f>VLOOKUP(A14,'Матрица поставщиков'!A1:E43,5,False) * B14</f>
        <v>2.59</v>
      </c>
      <c r="H14" s="59" t="str">
        <f t="shared" si="3"/>
        <v>#REF!</v>
      </c>
      <c r="I14" s="81"/>
    </row>
    <row r="15">
      <c r="A15" s="4" t="s">
        <v>7</v>
      </c>
      <c r="B15" s="4">
        <v>0.5</v>
      </c>
      <c r="C15" s="4">
        <v>0.5</v>
      </c>
      <c r="D15" s="4" t="s">
        <v>6</v>
      </c>
      <c r="E15" s="32">
        <f t="shared" si="1"/>
        <v>0</v>
      </c>
      <c r="F15" s="34">
        <f t="shared" si="2"/>
        <v>0</v>
      </c>
      <c r="G15" s="34">
        <f>VLOOKUP(A15,'Матрица поставщиков'!A1:E43,5,False) * B15</f>
        <v>0.67</v>
      </c>
      <c r="H15" s="59" t="str">
        <f t="shared" si="3"/>
        <v>#REF!</v>
      </c>
      <c r="I15" s="81"/>
    </row>
    <row r="16">
      <c r="A16" s="4" t="s">
        <v>15</v>
      </c>
      <c r="B16" s="4">
        <v>5.0</v>
      </c>
      <c r="C16" s="4">
        <v>5.0</v>
      </c>
      <c r="D16" s="4" t="s">
        <v>6</v>
      </c>
      <c r="E16" s="32">
        <f t="shared" si="1"/>
        <v>0</v>
      </c>
      <c r="F16" s="34">
        <f t="shared" si="2"/>
        <v>0</v>
      </c>
      <c r="G16" s="34">
        <f>VLOOKUP(A16,'Матрица поставщиков'!A1:E43,5,False) * B16</f>
        <v>0.345</v>
      </c>
      <c r="H16" s="59" t="str">
        <f t="shared" si="3"/>
        <v>#REF!</v>
      </c>
      <c r="I16" s="81"/>
    </row>
    <row r="17">
      <c r="A17" s="4" t="s">
        <v>17</v>
      </c>
      <c r="B17" s="4">
        <v>5.0</v>
      </c>
      <c r="C17" s="4">
        <v>5.0</v>
      </c>
      <c r="D17" s="4" t="s">
        <v>6</v>
      </c>
      <c r="E17" s="32">
        <f t="shared" si="1"/>
        <v>0</v>
      </c>
      <c r="F17" s="34">
        <f t="shared" si="2"/>
        <v>0</v>
      </c>
      <c r="G17" s="34">
        <f>VLOOKUP(A17,'Матрица поставщиков'!A1:E43,5,False) * B17</f>
        <v>0.21</v>
      </c>
      <c r="H17" s="59" t="str">
        <f t="shared" si="3"/>
        <v>#REF!</v>
      </c>
      <c r="I17" s="81"/>
    </row>
    <row r="18">
      <c r="A18" s="4" t="s">
        <v>393</v>
      </c>
      <c r="B18" s="4">
        <v>500.0</v>
      </c>
      <c r="C18" s="4">
        <v>500.0</v>
      </c>
      <c r="D18" s="4" t="s">
        <v>12</v>
      </c>
      <c r="E18" s="17">
        <v>50.0</v>
      </c>
      <c r="F18" s="34">
        <f t="shared" si="2"/>
        <v>10</v>
      </c>
      <c r="G18" s="111">
        <v>0.0</v>
      </c>
      <c r="H18" s="59" t="str">
        <f t="shared" si="3"/>
        <v>#REF!</v>
      </c>
      <c r="I18" s="52"/>
    </row>
    <row r="19">
      <c r="A19" s="44" t="s">
        <v>227</v>
      </c>
      <c r="B19" s="4">
        <f t="shared" ref="B19:C19" si="4">SUM(B4:B18)</f>
        <v>672.5</v>
      </c>
      <c r="C19" s="4">
        <f t="shared" si="4"/>
        <v>672.5</v>
      </c>
      <c r="D19" s="82" t="s">
        <v>275</v>
      </c>
      <c r="E19" s="32">
        <f>SUM(E4:E18)</f>
        <v>50</v>
      </c>
      <c r="F19" s="82" t="s">
        <v>275</v>
      </c>
      <c r="G19" s="60" t="str">
        <f>SUM(G4:G18)</f>
        <v>#REF!</v>
      </c>
      <c r="H19" s="61" t="str">
        <f t="shared" si="3"/>
        <v>#REF!</v>
      </c>
      <c r="I19" s="160">
        <f>B19-E19</f>
        <v>622.5</v>
      </c>
    </row>
    <row r="20">
      <c r="F20" s="161"/>
    </row>
    <row r="21">
      <c r="A21" s="63" t="s">
        <v>238</v>
      </c>
    </row>
    <row r="22">
      <c r="A22" s="138" t="s">
        <v>453</v>
      </c>
      <c r="J22" s="138"/>
      <c r="K22" s="138"/>
      <c r="L22" s="138"/>
      <c r="M22" s="138"/>
      <c r="N22" s="138"/>
      <c r="O22" s="138"/>
      <c r="P22" s="138"/>
      <c r="Q22" s="138"/>
      <c r="R22" s="138"/>
      <c r="S22" s="138"/>
      <c r="T22" s="138"/>
      <c r="U22" s="138"/>
      <c r="V22" s="138"/>
    </row>
    <row r="23">
      <c r="F23" s="161"/>
    </row>
    <row r="24" ht="15.75" customHeight="1">
      <c r="F24" s="161"/>
    </row>
    <row r="25" ht="15.75" customHeight="1">
      <c r="F25" s="161"/>
    </row>
    <row r="26" ht="15.75" customHeight="1">
      <c r="F26" s="161"/>
    </row>
    <row r="27" ht="15.75" customHeight="1">
      <c r="F27" s="161"/>
    </row>
    <row r="28" ht="15.75" customHeight="1">
      <c r="F28" s="161"/>
    </row>
    <row r="29" ht="15.75" customHeight="1">
      <c r="F29" s="161"/>
    </row>
    <row r="30" ht="15.75" customHeight="1">
      <c r="F30" s="161"/>
    </row>
    <row r="31" ht="15.75" customHeight="1">
      <c r="F31" s="161"/>
    </row>
    <row r="32" ht="15.75" customHeight="1">
      <c r="F32" s="161"/>
    </row>
    <row r="33" ht="15.75" customHeight="1">
      <c r="F33" s="161"/>
    </row>
    <row r="34" ht="15.75" customHeight="1">
      <c r="F34" s="161"/>
    </row>
    <row r="35" ht="15.75" customHeight="1">
      <c r="F35" s="161"/>
    </row>
    <row r="36" ht="15.75" customHeight="1">
      <c r="F36" s="161"/>
    </row>
    <row r="37" ht="15.75" customHeight="1">
      <c r="F37" s="161"/>
    </row>
    <row r="38" ht="15.75" customHeight="1">
      <c r="F38" s="161"/>
    </row>
    <row r="39" ht="15.75" customHeight="1">
      <c r="F39" s="161"/>
    </row>
    <row r="40" ht="15.75" customHeight="1">
      <c r="F40" s="161"/>
    </row>
    <row r="41" ht="15.75" customHeight="1">
      <c r="F41" s="161"/>
    </row>
    <row r="42" ht="15.75" customHeight="1">
      <c r="F42" s="161"/>
    </row>
    <row r="43" ht="15.75" customHeight="1">
      <c r="F43" s="161"/>
    </row>
    <row r="44" ht="15.75" customHeight="1">
      <c r="F44" s="161"/>
    </row>
    <row r="45" ht="15.75" customHeight="1">
      <c r="F45" s="161"/>
    </row>
    <row r="46" ht="15.75" customHeight="1">
      <c r="F46" s="161"/>
    </row>
    <row r="47" ht="15.75" customHeight="1">
      <c r="F47" s="161"/>
    </row>
    <row r="48" ht="15.75" customHeight="1">
      <c r="F48" s="161"/>
    </row>
    <row r="49" ht="15.75" customHeight="1">
      <c r="F49" s="161"/>
    </row>
    <row r="50" ht="15.75" customHeight="1">
      <c r="F50" s="161"/>
    </row>
    <row r="51" ht="15.75" customHeight="1">
      <c r="F51" s="161"/>
    </row>
    <row r="52" ht="15.75" customHeight="1">
      <c r="F52" s="161"/>
    </row>
    <row r="53" ht="15.75" customHeight="1">
      <c r="F53" s="161"/>
    </row>
    <row r="54" ht="15.75" customHeight="1">
      <c r="F54" s="161"/>
    </row>
    <row r="55" ht="15.75" customHeight="1">
      <c r="F55" s="161"/>
    </row>
    <row r="56" ht="15.75" customHeight="1">
      <c r="F56" s="161"/>
    </row>
    <row r="57" ht="15.75" customHeight="1">
      <c r="F57" s="161"/>
    </row>
    <row r="58" ht="15.75" customHeight="1">
      <c r="F58" s="161"/>
    </row>
    <row r="59" ht="15.75" customHeight="1">
      <c r="F59" s="161"/>
    </row>
    <row r="60" ht="15.75" customHeight="1">
      <c r="F60" s="161"/>
    </row>
    <row r="61" ht="15.75" customHeight="1">
      <c r="F61" s="161"/>
    </row>
    <row r="62" ht="15.75" customHeight="1">
      <c r="F62" s="161"/>
    </row>
    <row r="63" ht="15.75" customHeight="1">
      <c r="F63" s="161"/>
    </row>
    <row r="64" ht="15.75" customHeight="1">
      <c r="F64" s="161"/>
    </row>
    <row r="65" ht="15.75" customHeight="1">
      <c r="F65" s="161"/>
    </row>
    <row r="66" ht="15.75" customHeight="1">
      <c r="F66" s="161"/>
    </row>
    <row r="67" ht="15.75" customHeight="1">
      <c r="F67" s="161"/>
    </row>
    <row r="68" ht="15.75" customHeight="1">
      <c r="F68" s="161"/>
    </row>
    <row r="69" ht="15.75" customHeight="1">
      <c r="F69" s="161"/>
    </row>
    <row r="70" ht="15.75" customHeight="1">
      <c r="F70" s="161"/>
    </row>
    <row r="71" ht="15.75" customHeight="1">
      <c r="F71" s="161"/>
    </row>
    <row r="72" ht="15.75" customHeight="1">
      <c r="F72" s="161"/>
    </row>
    <row r="73" ht="15.75" customHeight="1">
      <c r="F73" s="161"/>
    </row>
    <row r="74" ht="15.75" customHeight="1">
      <c r="F74" s="161"/>
    </row>
    <row r="75" ht="15.75" customHeight="1">
      <c r="F75" s="161"/>
    </row>
    <row r="76" ht="15.75" customHeight="1">
      <c r="F76" s="161"/>
    </row>
    <row r="77" ht="15.75" customHeight="1">
      <c r="F77" s="161"/>
    </row>
    <row r="78" ht="15.75" customHeight="1">
      <c r="F78" s="161"/>
    </row>
    <row r="79" ht="15.75" customHeight="1">
      <c r="F79" s="161"/>
    </row>
    <row r="80" ht="15.75" customHeight="1">
      <c r="F80" s="161"/>
    </row>
    <row r="81" ht="15.75" customHeight="1">
      <c r="F81" s="161"/>
    </row>
    <row r="82" ht="15.75" customHeight="1">
      <c r="F82" s="161"/>
    </row>
    <row r="83" ht="15.75" customHeight="1">
      <c r="F83" s="161"/>
    </row>
    <row r="84" ht="15.75" customHeight="1">
      <c r="F84" s="161"/>
    </row>
    <row r="85" ht="15.75" customHeight="1">
      <c r="F85" s="161"/>
    </row>
    <row r="86" ht="15.75" customHeight="1">
      <c r="F86" s="161"/>
    </row>
    <row r="87" ht="15.75" customHeight="1">
      <c r="F87" s="161"/>
    </row>
    <row r="88" ht="15.75" customHeight="1">
      <c r="F88" s="161"/>
    </row>
    <row r="89" ht="15.75" customHeight="1">
      <c r="F89" s="161"/>
    </row>
    <row r="90" ht="15.75" customHeight="1">
      <c r="F90" s="161"/>
    </row>
    <row r="91" ht="15.75" customHeight="1">
      <c r="F91" s="161"/>
    </row>
    <row r="92" ht="15.75" customHeight="1">
      <c r="F92" s="161"/>
    </row>
    <row r="93" ht="15.75" customHeight="1">
      <c r="F93" s="161"/>
    </row>
    <row r="94" ht="15.75" customHeight="1">
      <c r="F94" s="161"/>
    </row>
    <row r="95" ht="15.75" customHeight="1">
      <c r="F95" s="161"/>
    </row>
    <row r="96" ht="15.75" customHeight="1">
      <c r="F96" s="161"/>
    </row>
    <row r="97" ht="15.75" customHeight="1">
      <c r="F97" s="161"/>
    </row>
    <row r="98" ht="15.75" customHeight="1">
      <c r="F98" s="161"/>
    </row>
    <row r="99" ht="15.75" customHeight="1">
      <c r="F99" s="161"/>
    </row>
    <row r="100" ht="15.75" customHeight="1">
      <c r="F100" s="161"/>
    </row>
    <row r="101" ht="15.75" customHeight="1">
      <c r="F101" s="161"/>
    </row>
    <row r="102" ht="15.75" customHeight="1">
      <c r="F102" s="161"/>
    </row>
    <row r="103" ht="15.75" customHeight="1">
      <c r="F103" s="161"/>
    </row>
    <row r="104" ht="15.75" customHeight="1">
      <c r="F104" s="161"/>
    </row>
    <row r="105" ht="15.75" customHeight="1">
      <c r="F105" s="161"/>
    </row>
    <row r="106" ht="15.75" customHeight="1">
      <c r="F106" s="161"/>
    </row>
    <row r="107" ht="15.75" customHeight="1">
      <c r="F107" s="161"/>
    </row>
    <row r="108" ht="15.75" customHeight="1">
      <c r="F108" s="161"/>
    </row>
    <row r="109" ht="15.75" customHeight="1">
      <c r="F109" s="161"/>
    </row>
    <row r="110" ht="15.75" customHeight="1">
      <c r="F110" s="161"/>
    </row>
    <row r="111" ht="15.75" customHeight="1">
      <c r="F111" s="161"/>
    </row>
    <row r="112" ht="15.75" customHeight="1">
      <c r="F112" s="161"/>
    </row>
    <row r="113" ht="15.75" customHeight="1">
      <c r="F113" s="161"/>
    </row>
    <row r="114" ht="15.75" customHeight="1">
      <c r="F114" s="161"/>
    </row>
    <row r="115" ht="15.75" customHeight="1">
      <c r="F115" s="161"/>
    </row>
    <row r="116" ht="15.75" customHeight="1">
      <c r="F116" s="161"/>
    </row>
    <row r="117" ht="15.75" customHeight="1">
      <c r="F117" s="161"/>
    </row>
    <row r="118" ht="15.75" customHeight="1">
      <c r="F118" s="161"/>
    </row>
    <row r="119" ht="15.75" customHeight="1">
      <c r="F119" s="161"/>
    </row>
    <row r="120" ht="15.75" customHeight="1">
      <c r="F120" s="161"/>
    </row>
    <row r="121" ht="15.75" customHeight="1">
      <c r="F121" s="161"/>
    </row>
    <row r="122" ht="15.75" customHeight="1">
      <c r="F122" s="161"/>
    </row>
    <row r="123" ht="15.75" customHeight="1">
      <c r="F123" s="161"/>
    </row>
    <row r="124" ht="15.75" customHeight="1">
      <c r="F124" s="161"/>
    </row>
    <row r="125" ht="15.75" customHeight="1">
      <c r="F125" s="161"/>
    </row>
    <row r="126" ht="15.75" customHeight="1">
      <c r="F126" s="161"/>
    </row>
    <row r="127" ht="15.75" customHeight="1">
      <c r="F127" s="161"/>
    </row>
    <row r="128" ht="15.75" customHeight="1">
      <c r="F128" s="161"/>
    </row>
    <row r="129" ht="15.75" customHeight="1">
      <c r="F129" s="161"/>
    </row>
    <row r="130" ht="15.75" customHeight="1">
      <c r="F130" s="161"/>
    </row>
    <row r="131" ht="15.75" customHeight="1">
      <c r="F131" s="161"/>
    </row>
    <row r="132" ht="15.75" customHeight="1">
      <c r="F132" s="161"/>
    </row>
    <row r="133" ht="15.75" customHeight="1">
      <c r="F133" s="161"/>
    </row>
    <row r="134" ht="15.75" customHeight="1">
      <c r="F134" s="161"/>
    </row>
    <row r="135" ht="15.75" customHeight="1">
      <c r="F135" s="161"/>
    </row>
    <row r="136" ht="15.75" customHeight="1">
      <c r="F136" s="161"/>
    </row>
    <row r="137" ht="15.75" customHeight="1">
      <c r="F137" s="161"/>
    </row>
    <row r="138" ht="15.75" customHeight="1">
      <c r="F138" s="161"/>
    </row>
    <row r="139" ht="15.75" customHeight="1">
      <c r="F139" s="161"/>
    </row>
    <row r="140" ht="15.75" customHeight="1">
      <c r="F140" s="161"/>
    </row>
    <row r="141" ht="15.75" customHeight="1">
      <c r="F141" s="161"/>
    </row>
    <row r="142" ht="15.75" customHeight="1">
      <c r="F142" s="161"/>
    </row>
    <row r="143" ht="15.75" customHeight="1">
      <c r="F143" s="161"/>
    </row>
    <row r="144" ht="15.75" customHeight="1">
      <c r="F144" s="161"/>
    </row>
    <row r="145" ht="15.75" customHeight="1">
      <c r="F145" s="161"/>
    </row>
    <row r="146" ht="15.75" customHeight="1">
      <c r="F146" s="161"/>
    </row>
    <row r="147" ht="15.75" customHeight="1">
      <c r="F147" s="161"/>
    </row>
    <row r="148" ht="15.75" customHeight="1">
      <c r="F148" s="161"/>
    </row>
    <row r="149" ht="15.75" customHeight="1">
      <c r="F149" s="161"/>
    </row>
    <row r="150" ht="15.75" customHeight="1">
      <c r="F150" s="161"/>
    </row>
    <row r="151" ht="15.75" customHeight="1">
      <c r="F151" s="161"/>
    </row>
    <row r="152" ht="15.75" customHeight="1">
      <c r="F152" s="161"/>
    </row>
    <row r="153" ht="15.75" customHeight="1">
      <c r="F153" s="161"/>
    </row>
    <row r="154" ht="15.75" customHeight="1">
      <c r="F154" s="161"/>
    </row>
    <row r="155" ht="15.75" customHeight="1">
      <c r="F155" s="161"/>
    </row>
    <row r="156" ht="15.75" customHeight="1">
      <c r="F156" s="161"/>
    </row>
    <row r="157" ht="15.75" customHeight="1">
      <c r="F157" s="161"/>
    </row>
    <row r="158" ht="15.75" customHeight="1">
      <c r="F158" s="161"/>
    </row>
    <row r="159" ht="15.75" customHeight="1">
      <c r="F159" s="161"/>
    </row>
    <row r="160" ht="15.75" customHeight="1">
      <c r="F160" s="161"/>
    </row>
    <row r="161" ht="15.75" customHeight="1">
      <c r="F161" s="161"/>
    </row>
    <row r="162" ht="15.75" customHeight="1">
      <c r="F162" s="161"/>
    </row>
    <row r="163" ht="15.75" customHeight="1">
      <c r="F163" s="161"/>
    </row>
    <row r="164" ht="15.75" customHeight="1">
      <c r="F164" s="161"/>
    </row>
    <row r="165" ht="15.75" customHeight="1">
      <c r="F165" s="161"/>
    </row>
    <row r="166" ht="15.75" customHeight="1">
      <c r="F166" s="161"/>
    </row>
    <row r="167" ht="15.75" customHeight="1">
      <c r="F167" s="161"/>
    </row>
    <row r="168" ht="15.75" customHeight="1">
      <c r="F168" s="161"/>
    </row>
    <row r="169" ht="15.75" customHeight="1">
      <c r="F169" s="161"/>
    </row>
    <row r="170" ht="15.75" customHeight="1">
      <c r="F170" s="161"/>
    </row>
    <row r="171" ht="15.75" customHeight="1">
      <c r="F171" s="161"/>
    </row>
    <row r="172" ht="15.75" customHeight="1">
      <c r="F172" s="161"/>
    </row>
    <row r="173" ht="15.75" customHeight="1">
      <c r="F173" s="161"/>
    </row>
    <row r="174" ht="15.75" customHeight="1">
      <c r="F174" s="161"/>
    </row>
    <row r="175" ht="15.75" customHeight="1">
      <c r="F175" s="161"/>
    </row>
    <row r="176" ht="15.75" customHeight="1">
      <c r="F176" s="161"/>
    </row>
    <row r="177" ht="15.75" customHeight="1">
      <c r="F177" s="161"/>
    </row>
    <row r="178" ht="15.75" customHeight="1">
      <c r="F178" s="161"/>
    </row>
    <row r="179" ht="15.75" customHeight="1">
      <c r="F179" s="161"/>
    </row>
    <row r="180" ht="15.75" customHeight="1">
      <c r="F180" s="161"/>
    </row>
    <row r="181" ht="15.75" customHeight="1">
      <c r="F181" s="161"/>
    </row>
    <row r="182" ht="15.75" customHeight="1">
      <c r="F182" s="161"/>
    </row>
    <row r="183" ht="15.75" customHeight="1">
      <c r="F183" s="161"/>
    </row>
    <row r="184" ht="15.75" customHeight="1">
      <c r="F184" s="161"/>
    </row>
    <row r="185" ht="15.75" customHeight="1">
      <c r="F185" s="161"/>
    </row>
    <row r="186" ht="15.75" customHeight="1">
      <c r="F186" s="161"/>
    </row>
    <row r="187" ht="15.75" customHeight="1">
      <c r="F187" s="161"/>
    </row>
    <row r="188" ht="15.75" customHeight="1">
      <c r="F188" s="161"/>
    </row>
    <row r="189" ht="15.75" customHeight="1">
      <c r="F189" s="161"/>
    </row>
    <row r="190" ht="15.75" customHeight="1">
      <c r="F190" s="161"/>
    </row>
    <row r="191" ht="15.75" customHeight="1">
      <c r="F191" s="161"/>
    </row>
    <row r="192" ht="15.75" customHeight="1">
      <c r="F192" s="161"/>
    </row>
    <row r="193" ht="15.75" customHeight="1">
      <c r="F193" s="161"/>
    </row>
    <row r="194" ht="15.75" customHeight="1">
      <c r="F194" s="161"/>
    </row>
    <row r="195" ht="15.75" customHeight="1">
      <c r="F195" s="161"/>
    </row>
    <row r="196" ht="15.75" customHeight="1">
      <c r="F196" s="161"/>
    </row>
    <row r="197" ht="15.75" customHeight="1">
      <c r="F197" s="161"/>
    </row>
    <row r="198" ht="15.75" customHeight="1">
      <c r="F198" s="161"/>
    </row>
    <row r="199" ht="15.75" customHeight="1">
      <c r="F199" s="161"/>
    </row>
    <row r="200" ht="15.75" customHeight="1">
      <c r="F200" s="161"/>
    </row>
    <row r="201" ht="15.75" customHeight="1">
      <c r="F201" s="161"/>
    </row>
    <row r="202" ht="15.75" customHeight="1">
      <c r="F202" s="161"/>
    </row>
    <row r="203" ht="15.75" customHeight="1">
      <c r="F203" s="161"/>
    </row>
    <row r="204" ht="15.75" customHeight="1">
      <c r="F204" s="161"/>
    </row>
    <row r="205" ht="15.75" customHeight="1">
      <c r="F205" s="161"/>
    </row>
    <row r="206" ht="15.75" customHeight="1">
      <c r="F206" s="161"/>
    </row>
    <row r="207" ht="15.75" customHeight="1">
      <c r="F207" s="161"/>
    </row>
    <row r="208" ht="15.75" customHeight="1">
      <c r="F208" s="161"/>
    </row>
    <row r="209" ht="15.75" customHeight="1">
      <c r="F209" s="161"/>
    </row>
    <row r="210" ht="15.75" customHeight="1">
      <c r="F210" s="161"/>
    </row>
    <row r="211" ht="15.75" customHeight="1">
      <c r="F211" s="161"/>
    </row>
    <row r="212" ht="15.75" customHeight="1">
      <c r="F212" s="161"/>
    </row>
    <row r="213" ht="15.75" customHeight="1">
      <c r="F213" s="161"/>
    </row>
    <row r="214" ht="15.75" customHeight="1">
      <c r="F214" s="161"/>
    </row>
    <row r="215" ht="15.75" customHeight="1">
      <c r="F215" s="161"/>
    </row>
    <row r="216" ht="15.75" customHeight="1">
      <c r="F216" s="161"/>
    </row>
    <row r="217" ht="15.75" customHeight="1">
      <c r="F217" s="161"/>
    </row>
    <row r="218" ht="15.75" customHeight="1">
      <c r="F218" s="161"/>
    </row>
    <row r="219" ht="15.75" customHeight="1">
      <c r="F219" s="161"/>
    </row>
    <row r="220" ht="15.75" customHeight="1">
      <c r="F220" s="161"/>
    </row>
    <row r="221" ht="15.75" customHeight="1">
      <c r="F221" s="161"/>
    </row>
    <row r="222" ht="15.75" customHeight="1">
      <c r="F222" s="161"/>
    </row>
    <row r="223" ht="15.75" customHeight="1">
      <c r="F223" s="161"/>
    </row>
    <row r="224" ht="15.75" customHeight="1">
      <c r="F224" s="161"/>
    </row>
    <row r="225" ht="15.75" customHeight="1">
      <c r="F225" s="161"/>
    </row>
    <row r="226" ht="15.75" customHeight="1">
      <c r="F226" s="161"/>
    </row>
    <row r="227" ht="15.75" customHeight="1">
      <c r="F227" s="161"/>
    </row>
    <row r="228" ht="15.75" customHeight="1">
      <c r="F228" s="161"/>
    </row>
    <row r="229" ht="15.75" customHeight="1">
      <c r="F229" s="161"/>
    </row>
    <row r="230" ht="15.75" customHeight="1">
      <c r="F230" s="161"/>
    </row>
    <row r="231" ht="15.75" customHeight="1">
      <c r="F231" s="161"/>
    </row>
    <row r="232" ht="15.75" customHeight="1">
      <c r="F232" s="161"/>
    </row>
    <row r="233" ht="15.75" customHeight="1">
      <c r="F233" s="161"/>
    </row>
    <row r="234" ht="15.75" customHeight="1">
      <c r="F234" s="161"/>
    </row>
    <row r="235" ht="15.75" customHeight="1">
      <c r="F235" s="161"/>
    </row>
    <row r="236" ht="15.75" customHeight="1">
      <c r="F236" s="161"/>
    </row>
    <row r="237" ht="15.75" customHeight="1">
      <c r="F237" s="161"/>
    </row>
    <row r="238" ht="15.75" customHeight="1">
      <c r="F238" s="161"/>
    </row>
    <row r="239" ht="15.75" customHeight="1">
      <c r="F239" s="161"/>
    </row>
    <row r="240" ht="15.75" customHeight="1">
      <c r="F240" s="161"/>
    </row>
    <row r="241" ht="15.75" customHeight="1">
      <c r="F241" s="161"/>
    </row>
    <row r="242" ht="15.75" customHeight="1">
      <c r="F242" s="161"/>
    </row>
    <row r="243" ht="15.75" customHeight="1">
      <c r="F243" s="161"/>
    </row>
    <row r="244" ht="15.75" customHeight="1">
      <c r="F244" s="161"/>
    </row>
    <row r="245" ht="15.75" customHeight="1">
      <c r="F245" s="161"/>
    </row>
    <row r="246" ht="15.75" customHeight="1">
      <c r="F246" s="161"/>
    </row>
    <row r="247" ht="15.75" customHeight="1">
      <c r="F247" s="161"/>
    </row>
    <row r="248" ht="15.75" customHeight="1">
      <c r="F248" s="161"/>
    </row>
    <row r="249" ht="15.75" customHeight="1">
      <c r="F249" s="161"/>
    </row>
    <row r="250" ht="15.75" customHeight="1">
      <c r="F250" s="161"/>
    </row>
    <row r="251" ht="15.75" customHeight="1">
      <c r="F251" s="161"/>
    </row>
    <row r="252" ht="15.75" customHeight="1">
      <c r="F252" s="161"/>
    </row>
    <row r="253" ht="15.75" customHeight="1">
      <c r="F253" s="161"/>
    </row>
    <row r="254" ht="15.75" customHeight="1">
      <c r="F254" s="161"/>
    </row>
    <row r="255" ht="15.75" customHeight="1">
      <c r="F255" s="161"/>
    </row>
    <row r="256" ht="15.75" customHeight="1">
      <c r="F256" s="161"/>
    </row>
    <row r="257" ht="15.75" customHeight="1">
      <c r="F257" s="161"/>
    </row>
    <row r="258" ht="15.75" customHeight="1">
      <c r="F258" s="161"/>
    </row>
    <row r="259" ht="15.75" customHeight="1">
      <c r="F259" s="161"/>
    </row>
    <row r="260" ht="15.75" customHeight="1">
      <c r="F260" s="161"/>
    </row>
    <row r="261" ht="15.75" customHeight="1">
      <c r="F261" s="161"/>
    </row>
    <row r="262" ht="15.75" customHeight="1">
      <c r="F262" s="161"/>
    </row>
    <row r="263" ht="15.75" customHeight="1">
      <c r="F263" s="161"/>
    </row>
    <row r="264" ht="15.75" customHeight="1">
      <c r="F264" s="161"/>
    </row>
    <row r="265" ht="15.75" customHeight="1">
      <c r="F265" s="161"/>
    </row>
    <row r="266" ht="15.75" customHeight="1">
      <c r="F266" s="161"/>
    </row>
    <row r="267" ht="15.75" customHeight="1">
      <c r="F267" s="161"/>
    </row>
    <row r="268" ht="15.75" customHeight="1">
      <c r="F268" s="161"/>
    </row>
    <row r="269" ht="15.75" customHeight="1">
      <c r="F269" s="161"/>
    </row>
    <row r="270" ht="15.75" customHeight="1">
      <c r="F270" s="161"/>
    </row>
    <row r="271" ht="15.75" customHeight="1">
      <c r="F271" s="161"/>
    </row>
    <row r="272" ht="15.75" customHeight="1">
      <c r="F272" s="161"/>
    </row>
    <row r="273" ht="15.75" customHeight="1">
      <c r="F273" s="161"/>
    </row>
    <row r="274" ht="15.75" customHeight="1">
      <c r="F274" s="161"/>
    </row>
    <row r="275" ht="15.75" customHeight="1">
      <c r="F275" s="161"/>
    </row>
    <row r="276" ht="15.75" customHeight="1">
      <c r="F276" s="161"/>
    </row>
    <row r="277" ht="15.75" customHeight="1">
      <c r="F277" s="161"/>
    </row>
    <row r="278" ht="15.75" customHeight="1">
      <c r="F278" s="161"/>
    </row>
    <row r="279" ht="15.75" customHeight="1">
      <c r="F279" s="161"/>
    </row>
    <row r="280" ht="15.75" customHeight="1">
      <c r="F280" s="161"/>
    </row>
    <row r="281" ht="15.75" customHeight="1">
      <c r="F281" s="161"/>
    </row>
    <row r="282" ht="15.75" customHeight="1">
      <c r="F282" s="161"/>
    </row>
    <row r="283" ht="15.75" customHeight="1">
      <c r="F283" s="161"/>
    </row>
    <row r="284" ht="15.75" customHeight="1">
      <c r="F284" s="161"/>
    </row>
    <row r="285" ht="15.75" customHeight="1">
      <c r="F285" s="161"/>
    </row>
    <row r="286" ht="15.75" customHeight="1">
      <c r="F286" s="161"/>
    </row>
    <row r="287" ht="15.75" customHeight="1">
      <c r="F287" s="161"/>
    </row>
    <row r="288" ht="15.75" customHeight="1">
      <c r="F288" s="161"/>
    </row>
    <row r="289" ht="15.75" customHeight="1">
      <c r="F289" s="161"/>
    </row>
    <row r="290" ht="15.75" customHeight="1">
      <c r="F290" s="161"/>
    </row>
    <row r="291" ht="15.75" customHeight="1">
      <c r="F291" s="161"/>
    </row>
    <row r="292" ht="15.75" customHeight="1">
      <c r="F292" s="161"/>
    </row>
    <row r="293" ht="15.75" customHeight="1">
      <c r="F293" s="161"/>
    </row>
    <row r="294" ht="15.75" customHeight="1">
      <c r="F294" s="161"/>
    </row>
    <row r="295" ht="15.75" customHeight="1">
      <c r="F295" s="161"/>
    </row>
    <row r="296" ht="15.75" customHeight="1">
      <c r="F296" s="161"/>
    </row>
    <row r="297" ht="15.75" customHeight="1">
      <c r="F297" s="161"/>
    </row>
    <row r="298" ht="15.75" customHeight="1">
      <c r="F298" s="161"/>
    </row>
    <row r="299" ht="15.75" customHeight="1">
      <c r="F299" s="161"/>
    </row>
    <row r="300" ht="15.75" customHeight="1">
      <c r="F300" s="161"/>
    </row>
    <row r="301" ht="15.75" customHeight="1">
      <c r="F301" s="161"/>
    </row>
    <row r="302" ht="15.75" customHeight="1">
      <c r="F302" s="161"/>
    </row>
    <row r="303" ht="15.75" customHeight="1">
      <c r="F303" s="161"/>
    </row>
    <row r="304" ht="15.75" customHeight="1">
      <c r="F304" s="161"/>
    </row>
    <row r="305" ht="15.75" customHeight="1">
      <c r="F305" s="161"/>
    </row>
    <row r="306" ht="15.75" customHeight="1">
      <c r="F306" s="161"/>
    </row>
    <row r="307" ht="15.75" customHeight="1">
      <c r="F307" s="161"/>
    </row>
    <row r="308" ht="15.75" customHeight="1">
      <c r="F308" s="161"/>
    </row>
    <row r="309" ht="15.75" customHeight="1">
      <c r="F309" s="161"/>
    </row>
    <row r="310" ht="15.75" customHeight="1">
      <c r="F310" s="161"/>
    </row>
    <row r="311" ht="15.75" customHeight="1">
      <c r="F311" s="161"/>
    </row>
    <row r="312" ht="15.75" customHeight="1">
      <c r="F312" s="161"/>
    </row>
    <row r="313" ht="15.75" customHeight="1">
      <c r="F313" s="161"/>
    </row>
    <row r="314" ht="15.75" customHeight="1">
      <c r="F314" s="161"/>
    </row>
    <row r="315" ht="15.75" customHeight="1">
      <c r="F315" s="161"/>
    </row>
    <row r="316" ht="15.75" customHeight="1">
      <c r="F316" s="161"/>
    </row>
    <row r="317" ht="15.75" customHeight="1">
      <c r="F317" s="161"/>
    </row>
    <row r="318" ht="15.75" customHeight="1">
      <c r="F318" s="161"/>
    </row>
    <row r="319" ht="15.75" customHeight="1">
      <c r="F319" s="161"/>
    </row>
    <row r="320" ht="15.75" customHeight="1">
      <c r="F320" s="161"/>
    </row>
    <row r="321" ht="15.75" customHeight="1">
      <c r="F321" s="161"/>
    </row>
    <row r="322" ht="15.75" customHeight="1">
      <c r="F322" s="161"/>
    </row>
    <row r="323" ht="15.75" customHeight="1">
      <c r="F323" s="161"/>
    </row>
    <row r="324" ht="15.75" customHeight="1">
      <c r="F324" s="161"/>
    </row>
    <row r="325" ht="15.75" customHeight="1">
      <c r="F325" s="161"/>
    </row>
    <row r="326" ht="15.75" customHeight="1">
      <c r="F326" s="161"/>
    </row>
    <row r="327" ht="15.75" customHeight="1">
      <c r="F327" s="161"/>
    </row>
    <row r="328" ht="15.75" customHeight="1">
      <c r="F328" s="161"/>
    </row>
    <row r="329" ht="15.75" customHeight="1">
      <c r="F329" s="161"/>
    </row>
    <row r="330" ht="15.75" customHeight="1">
      <c r="F330" s="161"/>
    </row>
    <row r="331" ht="15.75" customHeight="1">
      <c r="F331" s="161"/>
    </row>
    <row r="332" ht="15.75" customHeight="1">
      <c r="F332" s="161"/>
    </row>
    <row r="333" ht="15.75" customHeight="1">
      <c r="F333" s="161"/>
    </row>
    <row r="334" ht="15.75" customHeight="1">
      <c r="F334" s="161"/>
    </row>
    <row r="335" ht="15.75" customHeight="1">
      <c r="F335" s="161"/>
    </row>
    <row r="336" ht="15.75" customHeight="1">
      <c r="F336" s="161"/>
    </row>
    <row r="337" ht="15.75" customHeight="1">
      <c r="F337" s="161"/>
    </row>
    <row r="338" ht="15.75" customHeight="1">
      <c r="F338" s="161"/>
    </row>
    <row r="339" ht="15.75" customHeight="1">
      <c r="F339" s="161"/>
    </row>
    <row r="340" ht="15.75" customHeight="1">
      <c r="F340" s="161"/>
    </row>
    <row r="341" ht="15.75" customHeight="1">
      <c r="F341" s="161"/>
    </row>
    <row r="342" ht="15.75" customHeight="1">
      <c r="F342" s="161"/>
    </row>
    <row r="343" ht="15.75" customHeight="1">
      <c r="F343" s="161"/>
    </row>
    <row r="344" ht="15.75" customHeight="1">
      <c r="F344" s="161"/>
    </row>
    <row r="345" ht="15.75" customHeight="1">
      <c r="F345" s="161"/>
    </row>
    <row r="346" ht="15.75" customHeight="1">
      <c r="F346" s="161"/>
    </row>
    <row r="347" ht="15.75" customHeight="1">
      <c r="F347" s="161"/>
    </row>
    <row r="348" ht="15.75" customHeight="1">
      <c r="F348" s="161"/>
    </row>
    <row r="349" ht="15.75" customHeight="1">
      <c r="F349" s="161"/>
    </row>
    <row r="350" ht="15.75" customHeight="1">
      <c r="F350" s="161"/>
    </row>
    <row r="351" ht="15.75" customHeight="1">
      <c r="F351" s="161"/>
    </row>
    <row r="352" ht="15.75" customHeight="1">
      <c r="F352" s="161"/>
    </row>
    <row r="353" ht="15.75" customHeight="1">
      <c r="F353" s="161"/>
    </row>
    <row r="354" ht="15.75" customHeight="1">
      <c r="F354" s="161"/>
    </row>
    <row r="355" ht="15.75" customHeight="1">
      <c r="F355" s="161"/>
    </row>
    <row r="356" ht="15.75" customHeight="1">
      <c r="F356" s="161"/>
    </row>
    <row r="357" ht="15.75" customHeight="1">
      <c r="F357" s="161"/>
    </row>
    <row r="358" ht="15.75" customHeight="1">
      <c r="F358" s="161"/>
    </row>
    <row r="359" ht="15.75" customHeight="1">
      <c r="F359" s="161"/>
    </row>
    <row r="360" ht="15.75" customHeight="1">
      <c r="F360" s="161"/>
    </row>
    <row r="361" ht="15.75" customHeight="1">
      <c r="F361" s="161"/>
    </row>
    <row r="362" ht="15.75" customHeight="1">
      <c r="F362" s="161"/>
    </row>
    <row r="363" ht="15.75" customHeight="1">
      <c r="F363" s="161"/>
    </row>
    <row r="364" ht="15.75" customHeight="1">
      <c r="F364" s="161"/>
    </row>
    <row r="365" ht="15.75" customHeight="1">
      <c r="F365" s="161"/>
    </row>
    <row r="366" ht="15.75" customHeight="1">
      <c r="F366" s="161"/>
    </row>
    <row r="367" ht="15.75" customHeight="1">
      <c r="F367" s="161"/>
    </row>
    <row r="368" ht="15.75" customHeight="1">
      <c r="F368" s="161"/>
    </row>
    <row r="369" ht="15.75" customHeight="1">
      <c r="F369" s="161"/>
    </row>
    <row r="370" ht="15.75" customHeight="1">
      <c r="F370" s="161"/>
    </row>
    <row r="371" ht="15.75" customHeight="1">
      <c r="F371" s="161"/>
    </row>
    <row r="372" ht="15.75" customHeight="1">
      <c r="F372" s="161"/>
    </row>
    <row r="373" ht="15.75" customHeight="1">
      <c r="F373" s="161"/>
    </row>
    <row r="374" ht="15.75" customHeight="1">
      <c r="F374" s="161"/>
    </row>
    <row r="375" ht="15.75" customHeight="1">
      <c r="F375" s="161"/>
    </row>
    <row r="376" ht="15.75" customHeight="1">
      <c r="F376" s="161"/>
    </row>
    <row r="377" ht="15.75" customHeight="1">
      <c r="F377" s="161"/>
    </row>
    <row r="378" ht="15.75" customHeight="1">
      <c r="F378" s="161"/>
    </row>
    <row r="379" ht="15.75" customHeight="1">
      <c r="F379" s="161"/>
    </row>
    <row r="380" ht="15.75" customHeight="1">
      <c r="F380" s="161"/>
    </row>
    <row r="381" ht="15.75" customHeight="1">
      <c r="F381" s="161"/>
    </row>
    <row r="382" ht="15.75" customHeight="1">
      <c r="F382" s="161"/>
    </row>
    <row r="383" ht="15.75" customHeight="1">
      <c r="F383" s="161"/>
    </row>
    <row r="384" ht="15.75" customHeight="1">
      <c r="F384" s="161"/>
    </row>
    <row r="385" ht="15.75" customHeight="1">
      <c r="F385" s="161"/>
    </row>
    <row r="386" ht="15.75" customHeight="1">
      <c r="F386" s="161"/>
    </row>
    <row r="387" ht="15.75" customHeight="1">
      <c r="F387" s="161"/>
    </row>
    <row r="388" ht="15.75" customHeight="1">
      <c r="F388" s="161"/>
    </row>
    <row r="389" ht="15.75" customHeight="1">
      <c r="F389" s="161"/>
    </row>
    <row r="390" ht="15.75" customHeight="1">
      <c r="F390" s="161"/>
    </row>
    <row r="391" ht="15.75" customHeight="1">
      <c r="F391" s="161"/>
    </row>
    <row r="392" ht="15.75" customHeight="1">
      <c r="F392" s="161"/>
    </row>
    <row r="393" ht="15.75" customHeight="1">
      <c r="F393" s="161"/>
    </row>
    <row r="394" ht="15.75" customHeight="1">
      <c r="F394" s="161"/>
    </row>
    <row r="395" ht="15.75" customHeight="1">
      <c r="F395" s="161"/>
    </row>
    <row r="396" ht="15.75" customHeight="1">
      <c r="F396" s="161"/>
    </row>
    <row r="397" ht="15.75" customHeight="1">
      <c r="F397" s="161"/>
    </row>
    <row r="398" ht="15.75" customHeight="1">
      <c r="F398" s="161"/>
    </row>
    <row r="399" ht="15.75" customHeight="1">
      <c r="F399" s="161"/>
    </row>
    <row r="400" ht="15.75" customHeight="1">
      <c r="F400" s="161"/>
    </row>
    <row r="401" ht="15.75" customHeight="1">
      <c r="F401" s="161"/>
    </row>
    <row r="402" ht="15.75" customHeight="1">
      <c r="F402" s="161"/>
    </row>
    <row r="403" ht="15.75" customHeight="1">
      <c r="F403" s="161"/>
    </row>
    <row r="404" ht="15.75" customHeight="1">
      <c r="F404" s="161"/>
    </row>
    <row r="405" ht="15.75" customHeight="1">
      <c r="F405" s="161"/>
    </row>
    <row r="406" ht="15.75" customHeight="1">
      <c r="F406" s="161"/>
    </row>
    <row r="407" ht="15.75" customHeight="1">
      <c r="F407" s="161"/>
    </row>
    <row r="408" ht="15.75" customHeight="1">
      <c r="F408" s="161"/>
    </row>
    <row r="409" ht="15.75" customHeight="1">
      <c r="F409" s="161"/>
    </row>
    <row r="410" ht="15.75" customHeight="1">
      <c r="F410" s="161"/>
    </row>
    <row r="411" ht="15.75" customHeight="1">
      <c r="F411" s="161"/>
    </row>
    <row r="412" ht="15.75" customHeight="1">
      <c r="F412" s="161"/>
    </row>
    <row r="413" ht="15.75" customHeight="1">
      <c r="F413" s="161"/>
    </row>
    <row r="414" ht="15.75" customHeight="1">
      <c r="F414" s="161"/>
    </row>
    <row r="415" ht="15.75" customHeight="1">
      <c r="F415" s="161"/>
    </row>
    <row r="416" ht="15.75" customHeight="1">
      <c r="F416" s="161"/>
    </row>
    <row r="417" ht="15.75" customHeight="1">
      <c r="F417" s="161"/>
    </row>
    <row r="418" ht="15.75" customHeight="1">
      <c r="F418" s="161"/>
    </row>
    <row r="419" ht="15.75" customHeight="1">
      <c r="F419" s="161"/>
    </row>
    <row r="420" ht="15.75" customHeight="1">
      <c r="F420" s="161"/>
    </row>
    <row r="421" ht="15.75" customHeight="1">
      <c r="F421" s="161"/>
    </row>
    <row r="422" ht="15.75" customHeight="1">
      <c r="F422" s="161"/>
    </row>
    <row r="423" ht="15.75" customHeight="1">
      <c r="F423" s="161"/>
    </row>
    <row r="424" ht="15.75" customHeight="1">
      <c r="F424" s="161"/>
    </row>
    <row r="425" ht="15.75" customHeight="1">
      <c r="F425" s="161"/>
    </row>
    <row r="426" ht="15.75" customHeight="1">
      <c r="F426" s="161"/>
    </row>
    <row r="427" ht="15.75" customHeight="1">
      <c r="F427" s="161"/>
    </row>
    <row r="428" ht="15.75" customHeight="1">
      <c r="F428" s="161"/>
    </row>
    <row r="429" ht="15.75" customHeight="1">
      <c r="F429" s="161"/>
    </row>
    <row r="430" ht="15.75" customHeight="1">
      <c r="F430" s="161"/>
    </row>
    <row r="431" ht="15.75" customHeight="1">
      <c r="F431" s="161"/>
    </row>
    <row r="432" ht="15.75" customHeight="1">
      <c r="F432" s="161"/>
    </row>
    <row r="433" ht="15.75" customHeight="1">
      <c r="F433" s="161"/>
    </row>
    <row r="434" ht="15.75" customHeight="1">
      <c r="F434" s="161"/>
    </row>
    <row r="435" ht="15.75" customHeight="1">
      <c r="F435" s="161"/>
    </row>
    <row r="436" ht="15.75" customHeight="1">
      <c r="F436" s="161"/>
    </row>
    <row r="437" ht="15.75" customHeight="1">
      <c r="F437" s="161"/>
    </row>
    <row r="438" ht="15.75" customHeight="1">
      <c r="F438" s="161"/>
    </row>
    <row r="439" ht="15.75" customHeight="1">
      <c r="F439" s="161"/>
    </row>
    <row r="440" ht="15.75" customHeight="1">
      <c r="F440" s="161"/>
    </row>
    <row r="441" ht="15.75" customHeight="1">
      <c r="F441" s="161"/>
    </row>
    <row r="442" ht="15.75" customHeight="1">
      <c r="F442" s="161"/>
    </row>
    <row r="443" ht="15.75" customHeight="1">
      <c r="F443" s="161"/>
    </row>
    <row r="444" ht="15.75" customHeight="1">
      <c r="F444" s="161"/>
    </row>
    <row r="445" ht="15.75" customHeight="1">
      <c r="F445" s="161"/>
    </row>
    <row r="446" ht="15.75" customHeight="1">
      <c r="F446" s="161"/>
    </row>
    <row r="447" ht="15.75" customHeight="1">
      <c r="F447" s="161"/>
    </row>
    <row r="448" ht="15.75" customHeight="1">
      <c r="F448" s="161"/>
    </row>
    <row r="449" ht="15.75" customHeight="1">
      <c r="F449" s="161"/>
    </row>
    <row r="450" ht="15.75" customHeight="1">
      <c r="F450" s="161"/>
    </row>
    <row r="451" ht="15.75" customHeight="1">
      <c r="F451" s="161"/>
    </row>
    <row r="452" ht="15.75" customHeight="1">
      <c r="F452" s="161"/>
    </row>
    <row r="453" ht="15.75" customHeight="1">
      <c r="F453" s="161"/>
    </row>
    <row r="454" ht="15.75" customHeight="1">
      <c r="F454" s="161"/>
    </row>
    <row r="455" ht="15.75" customHeight="1">
      <c r="F455" s="161"/>
    </row>
    <row r="456" ht="15.75" customHeight="1">
      <c r="F456" s="161"/>
    </row>
    <row r="457" ht="15.75" customHeight="1">
      <c r="F457" s="161"/>
    </row>
    <row r="458" ht="15.75" customHeight="1">
      <c r="F458" s="161"/>
    </row>
    <row r="459" ht="15.75" customHeight="1">
      <c r="F459" s="161"/>
    </row>
    <row r="460" ht="15.75" customHeight="1">
      <c r="F460" s="161"/>
    </row>
    <row r="461" ht="15.75" customHeight="1">
      <c r="F461" s="161"/>
    </row>
    <row r="462" ht="15.75" customHeight="1">
      <c r="F462" s="161"/>
    </row>
    <row r="463" ht="15.75" customHeight="1">
      <c r="F463" s="161"/>
    </row>
    <row r="464" ht="15.75" customHeight="1">
      <c r="F464" s="161"/>
    </row>
    <row r="465" ht="15.75" customHeight="1">
      <c r="F465" s="161"/>
    </row>
    <row r="466" ht="15.75" customHeight="1">
      <c r="F466" s="161"/>
    </row>
    <row r="467" ht="15.75" customHeight="1">
      <c r="F467" s="161"/>
    </row>
    <row r="468" ht="15.75" customHeight="1">
      <c r="F468" s="161"/>
    </row>
    <row r="469" ht="15.75" customHeight="1">
      <c r="F469" s="161"/>
    </row>
    <row r="470" ht="15.75" customHeight="1">
      <c r="F470" s="161"/>
    </row>
    <row r="471" ht="15.75" customHeight="1">
      <c r="F471" s="161"/>
    </row>
    <row r="472" ht="15.75" customHeight="1">
      <c r="F472" s="161"/>
    </row>
    <row r="473" ht="15.75" customHeight="1">
      <c r="F473" s="161"/>
    </row>
    <row r="474" ht="15.75" customHeight="1">
      <c r="F474" s="161"/>
    </row>
    <row r="475" ht="15.75" customHeight="1">
      <c r="F475" s="161"/>
    </row>
    <row r="476" ht="15.75" customHeight="1">
      <c r="F476" s="161"/>
    </row>
    <row r="477" ht="15.75" customHeight="1">
      <c r="F477" s="161"/>
    </row>
    <row r="478" ht="15.75" customHeight="1">
      <c r="F478" s="161"/>
    </row>
    <row r="479" ht="15.75" customHeight="1">
      <c r="F479" s="161"/>
    </row>
    <row r="480" ht="15.75" customHeight="1">
      <c r="F480" s="161"/>
    </row>
    <row r="481" ht="15.75" customHeight="1">
      <c r="F481" s="161"/>
    </row>
    <row r="482" ht="15.75" customHeight="1">
      <c r="F482" s="161"/>
    </row>
    <row r="483" ht="15.75" customHeight="1">
      <c r="F483" s="161"/>
    </row>
    <row r="484" ht="15.75" customHeight="1">
      <c r="F484" s="161"/>
    </row>
    <row r="485" ht="15.75" customHeight="1">
      <c r="F485" s="161"/>
    </row>
    <row r="486" ht="15.75" customHeight="1">
      <c r="F486" s="161"/>
    </row>
    <row r="487" ht="15.75" customHeight="1">
      <c r="F487" s="161"/>
    </row>
    <row r="488" ht="15.75" customHeight="1">
      <c r="F488" s="161"/>
    </row>
    <row r="489" ht="15.75" customHeight="1">
      <c r="F489" s="161"/>
    </row>
    <row r="490" ht="15.75" customHeight="1">
      <c r="F490" s="161"/>
    </row>
    <row r="491" ht="15.75" customHeight="1">
      <c r="F491" s="161"/>
    </row>
    <row r="492" ht="15.75" customHeight="1">
      <c r="F492" s="161"/>
    </row>
    <row r="493" ht="15.75" customHeight="1">
      <c r="F493" s="161"/>
    </row>
    <row r="494" ht="15.75" customHeight="1">
      <c r="F494" s="161"/>
    </row>
    <row r="495" ht="15.75" customHeight="1">
      <c r="F495" s="161"/>
    </row>
    <row r="496" ht="15.75" customHeight="1">
      <c r="F496" s="161"/>
    </row>
    <row r="497" ht="15.75" customHeight="1">
      <c r="F497" s="161"/>
    </row>
    <row r="498" ht="15.75" customHeight="1">
      <c r="F498" s="161"/>
    </row>
    <row r="499" ht="15.75" customHeight="1">
      <c r="F499" s="161"/>
    </row>
    <row r="500" ht="15.75" customHeight="1">
      <c r="F500" s="161"/>
    </row>
    <row r="501" ht="15.75" customHeight="1">
      <c r="F501" s="161"/>
    </row>
    <row r="502" ht="15.75" customHeight="1">
      <c r="F502" s="161"/>
    </row>
    <row r="503" ht="15.75" customHeight="1">
      <c r="F503" s="161"/>
    </row>
    <row r="504" ht="15.75" customHeight="1">
      <c r="F504" s="161"/>
    </row>
    <row r="505" ht="15.75" customHeight="1">
      <c r="F505" s="161"/>
    </row>
    <row r="506" ht="15.75" customHeight="1">
      <c r="F506" s="161"/>
    </row>
    <row r="507" ht="15.75" customHeight="1">
      <c r="F507" s="161"/>
    </row>
    <row r="508" ht="15.75" customHeight="1">
      <c r="F508" s="161"/>
    </row>
    <row r="509" ht="15.75" customHeight="1">
      <c r="F509" s="161"/>
    </row>
    <row r="510" ht="15.75" customHeight="1">
      <c r="F510" s="161"/>
    </row>
    <row r="511" ht="15.75" customHeight="1">
      <c r="F511" s="161"/>
    </row>
    <row r="512" ht="15.75" customHeight="1">
      <c r="F512" s="161"/>
    </row>
    <row r="513" ht="15.75" customHeight="1">
      <c r="F513" s="161"/>
    </row>
    <row r="514" ht="15.75" customHeight="1">
      <c r="F514" s="161"/>
    </row>
    <row r="515" ht="15.75" customHeight="1">
      <c r="F515" s="161"/>
    </row>
    <row r="516" ht="15.75" customHeight="1">
      <c r="F516" s="161"/>
    </row>
    <row r="517" ht="15.75" customHeight="1">
      <c r="F517" s="161"/>
    </row>
    <row r="518" ht="15.75" customHeight="1">
      <c r="F518" s="161"/>
    </row>
    <row r="519" ht="15.75" customHeight="1">
      <c r="F519" s="161"/>
    </row>
    <row r="520" ht="15.75" customHeight="1">
      <c r="F520" s="161"/>
    </row>
    <row r="521" ht="15.75" customHeight="1">
      <c r="F521" s="161"/>
    </row>
    <row r="522" ht="15.75" customHeight="1">
      <c r="F522" s="161"/>
    </row>
    <row r="523" ht="15.75" customHeight="1">
      <c r="F523" s="161"/>
    </row>
    <row r="524" ht="15.75" customHeight="1">
      <c r="F524" s="161"/>
    </row>
    <row r="525" ht="15.75" customHeight="1">
      <c r="F525" s="161"/>
    </row>
    <row r="526" ht="15.75" customHeight="1">
      <c r="F526" s="161"/>
    </row>
    <row r="527" ht="15.75" customHeight="1">
      <c r="F527" s="161"/>
    </row>
    <row r="528" ht="15.75" customHeight="1">
      <c r="F528" s="161"/>
    </row>
    <row r="529" ht="15.75" customHeight="1">
      <c r="F529" s="161"/>
    </row>
    <row r="530" ht="15.75" customHeight="1">
      <c r="F530" s="161"/>
    </row>
    <row r="531" ht="15.75" customHeight="1">
      <c r="F531" s="161"/>
    </row>
    <row r="532" ht="15.75" customHeight="1">
      <c r="F532" s="161"/>
    </row>
    <row r="533" ht="15.75" customHeight="1">
      <c r="F533" s="161"/>
    </row>
    <row r="534" ht="15.75" customHeight="1">
      <c r="F534" s="161"/>
    </row>
    <row r="535" ht="15.75" customHeight="1">
      <c r="F535" s="161"/>
    </row>
    <row r="536" ht="15.75" customHeight="1">
      <c r="F536" s="161"/>
    </row>
    <row r="537" ht="15.75" customHeight="1">
      <c r="F537" s="161"/>
    </row>
    <row r="538" ht="15.75" customHeight="1">
      <c r="F538" s="161"/>
    </row>
    <row r="539" ht="15.75" customHeight="1">
      <c r="F539" s="161"/>
    </row>
    <row r="540" ht="15.75" customHeight="1">
      <c r="F540" s="161"/>
    </row>
    <row r="541" ht="15.75" customHeight="1">
      <c r="F541" s="161"/>
    </row>
    <row r="542" ht="15.75" customHeight="1">
      <c r="F542" s="161"/>
    </row>
    <row r="543" ht="15.75" customHeight="1">
      <c r="F543" s="161"/>
    </row>
    <row r="544" ht="15.75" customHeight="1">
      <c r="F544" s="161"/>
    </row>
    <row r="545" ht="15.75" customHeight="1">
      <c r="F545" s="161"/>
    </row>
    <row r="546" ht="15.75" customHeight="1">
      <c r="F546" s="161"/>
    </row>
    <row r="547" ht="15.75" customHeight="1">
      <c r="F547" s="161"/>
    </row>
    <row r="548" ht="15.75" customHeight="1">
      <c r="F548" s="161"/>
    </row>
    <row r="549" ht="15.75" customHeight="1">
      <c r="F549" s="161"/>
    </row>
    <row r="550" ht="15.75" customHeight="1">
      <c r="F550" s="161"/>
    </row>
    <row r="551" ht="15.75" customHeight="1">
      <c r="F551" s="161"/>
    </row>
    <row r="552" ht="15.75" customHeight="1">
      <c r="F552" s="161"/>
    </row>
    <row r="553" ht="15.75" customHeight="1">
      <c r="F553" s="161"/>
    </row>
    <row r="554" ht="15.75" customHeight="1">
      <c r="F554" s="161"/>
    </row>
    <row r="555" ht="15.75" customHeight="1">
      <c r="F555" s="161"/>
    </row>
    <row r="556" ht="15.75" customHeight="1">
      <c r="F556" s="161"/>
    </row>
    <row r="557" ht="15.75" customHeight="1">
      <c r="F557" s="161"/>
    </row>
    <row r="558" ht="15.75" customHeight="1">
      <c r="F558" s="161"/>
    </row>
    <row r="559" ht="15.75" customHeight="1">
      <c r="F559" s="161"/>
    </row>
    <row r="560" ht="15.75" customHeight="1">
      <c r="F560" s="161"/>
    </row>
    <row r="561" ht="15.75" customHeight="1">
      <c r="F561" s="161"/>
    </row>
    <row r="562" ht="15.75" customHeight="1">
      <c r="F562" s="161"/>
    </row>
    <row r="563" ht="15.75" customHeight="1">
      <c r="F563" s="161"/>
    </row>
    <row r="564" ht="15.75" customHeight="1">
      <c r="F564" s="161"/>
    </row>
    <row r="565" ht="15.75" customHeight="1">
      <c r="F565" s="161"/>
    </row>
    <row r="566" ht="15.75" customHeight="1">
      <c r="F566" s="161"/>
    </row>
    <row r="567" ht="15.75" customHeight="1">
      <c r="F567" s="161"/>
    </row>
    <row r="568" ht="15.75" customHeight="1">
      <c r="F568" s="161"/>
    </row>
    <row r="569" ht="15.75" customHeight="1">
      <c r="F569" s="161"/>
    </row>
    <row r="570" ht="15.75" customHeight="1">
      <c r="F570" s="161"/>
    </row>
    <row r="571" ht="15.75" customHeight="1">
      <c r="F571" s="161"/>
    </row>
    <row r="572" ht="15.75" customHeight="1">
      <c r="F572" s="161"/>
    </row>
    <row r="573" ht="15.75" customHeight="1">
      <c r="F573" s="161"/>
    </row>
    <row r="574" ht="15.75" customHeight="1">
      <c r="F574" s="161"/>
    </row>
    <row r="575" ht="15.75" customHeight="1">
      <c r="F575" s="161"/>
    </row>
    <row r="576" ht="15.75" customHeight="1">
      <c r="F576" s="161"/>
    </row>
    <row r="577" ht="15.75" customHeight="1">
      <c r="F577" s="161"/>
    </row>
    <row r="578" ht="15.75" customHeight="1">
      <c r="F578" s="161"/>
    </row>
    <row r="579" ht="15.75" customHeight="1">
      <c r="F579" s="161"/>
    </row>
    <row r="580" ht="15.75" customHeight="1">
      <c r="F580" s="161"/>
    </row>
    <row r="581" ht="15.75" customHeight="1">
      <c r="F581" s="161"/>
    </row>
    <row r="582" ht="15.75" customHeight="1">
      <c r="F582" s="161"/>
    </row>
    <row r="583" ht="15.75" customHeight="1">
      <c r="F583" s="161"/>
    </row>
    <row r="584" ht="15.75" customHeight="1">
      <c r="F584" s="161"/>
    </row>
    <row r="585" ht="15.75" customHeight="1">
      <c r="F585" s="161"/>
    </row>
    <row r="586" ht="15.75" customHeight="1">
      <c r="F586" s="161"/>
    </row>
    <row r="587" ht="15.75" customHeight="1">
      <c r="F587" s="161"/>
    </row>
    <row r="588" ht="15.75" customHeight="1">
      <c r="F588" s="161"/>
    </row>
    <row r="589" ht="15.75" customHeight="1">
      <c r="F589" s="161"/>
    </row>
    <row r="590" ht="15.75" customHeight="1">
      <c r="F590" s="161"/>
    </row>
    <row r="591" ht="15.75" customHeight="1">
      <c r="F591" s="161"/>
    </row>
    <row r="592" ht="15.75" customHeight="1">
      <c r="F592" s="161"/>
    </row>
    <row r="593" ht="15.75" customHeight="1">
      <c r="F593" s="161"/>
    </row>
    <row r="594" ht="15.75" customHeight="1">
      <c r="F594" s="161"/>
    </row>
    <row r="595" ht="15.75" customHeight="1">
      <c r="F595" s="161"/>
    </row>
    <row r="596" ht="15.75" customHeight="1">
      <c r="F596" s="161"/>
    </row>
    <row r="597" ht="15.75" customHeight="1">
      <c r="F597" s="161"/>
    </row>
    <row r="598" ht="15.75" customHeight="1">
      <c r="F598" s="161"/>
    </row>
    <row r="599" ht="15.75" customHeight="1">
      <c r="F599" s="161"/>
    </row>
    <row r="600" ht="15.75" customHeight="1">
      <c r="F600" s="161"/>
    </row>
    <row r="601" ht="15.75" customHeight="1">
      <c r="F601" s="161"/>
    </row>
    <row r="602" ht="15.75" customHeight="1">
      <c r="F602" s="161"/>
    </row>
    <row r="603" ht="15.75" customHeight="1">
      <c r="F603" s="161"/>
    </row>
    <row r="604" ht="15.75" customHeight="1">
      <c r="F604" s="161"/>
    </row>
    <row r="605" ht="15.75" customHeight="1">
      <c r="F605" s="161"/>
    </row>
    <row r="606" ht="15.75" customHeight="1">
      <c r="F606" s="161"/>
    </row>
    <row r="607" ht="15.75" customHeight="1">
      <c r="F607" s="161"/>
    </row>
    <row r="608" ht="15.75" customHeight="1">
      <c r="F608" s="161"/>
    </row>
    <row r="609" ht="15.75" customHeight="1">
      <c r="F609" s="161"/>
    </row>
    <row r="610" ht="15.75" customHeight="1">
      <c r="F610" s="161"/>
    </row>
    <row r="611" ht="15.75" customHeight="1">
      <c r="F611" s="161"/>
    </row>
    <row r="612" ht="15.75" customHeight="1">
      <c r="F612" s="161"/>
    </row>
    <row r="613" ht="15.75" customHeight="1">
      <c r="F613" s="161"/>
    </row>
    <row r="614" ht="15.75" customHeight="1">
      <c r="F614" s="161"/>
    </row>
    <row r="615" ht="15.75" customHeight="1">
      <c r="F615" s="161"/>
    </row>
    <row r="616" ht="15.75" customHeight="1">
      <c r="F616" s="161"/>
    </row>
    <row r="617" ht="15.75" customHeight="1">
      <c r="F617" s="161"/>
    </row>
    <row r="618" ht="15.75" customHeight="1">
      <c r="F618" s="161"/>
    </row>
    <row r="619" ht="15.75" customHeight="1">
      <c r="F619" s="161"/>
    </row>
    <row r="620" ht="15.75" customHeight="1">
      <c r="F620" s="161"/>
    </row>
    <row r="621" ht="15.75" customHeight="1">
      <c r="F621" s="161"/>
    </row>
    <row r="622" ht="15.75" customHeight="1">
      <c r="F622" s="161"/>
    </row>
    <row r="623" ht="15.75" customHeight="1">
      <c r="F623" s="161"/>
    </row>
    <row r="624" ht="15.75" customHeight="1">
      <c r="F624" s="161"/>
    </row>
    <row r="625" ht="15.75" customHeight="1">
      <c r="F625" s="161"/>
    </row>
    <row r="626" ht="15.75" customHeight="1">
      <c r="F626" s="161"/>
    </row>
    <row r="627" ht="15.75" customHeight="1">
      <c r="F627" s="161"/>
    </row>
    <row r="628" ht="15.75" customHeight="1">
      <c r="F628" s="161"/>
    </row>
    <row r="629" ht="15.75" customHeight="1">
      <c r="F629" s="161"/>
    </row>
    <row r="630" ht="15.75" customHeight="1">
      <c r="F630" s="161"/>
    </row>
    <row r="631" ht="15.75" customHeight="1">
      <c r="F631" s="161"/>
    </row>
    <row r="632" ht="15.75" customHeight="1">
      <c r="F632" s="161"/>
    </row>
    <row r="633" ht="15.75" customHeight="1">
      <c r="F633" s="161"/>
    </row>
    <row r="634" ht="15.75" customHeight="1">
      <c r="F634" s="161"/>
    </row>
    <row r="635" ht="15.75" customHeight="1">
      <c r="F635" s="161"/>
    </row>
    <row r="636" ht="15.75" customHeight="1">
      <c r="F636" s="161"/>
    </row>
    <row r="637" ht="15.75" customHeight="1">
      <c r="F637" s="161"/>
    </row>
    <row r="638" ht="15.75" customHeight="1">
      <c r="F638" s="161"/>
    </row>
    <row r="639" ht="15.75" customHeight="1">
      <c r="F639" s="161"/>
    </row>
    <row r="640" ht="15.75" customHeight="1">
      <c r="F640" s="161"/>
    </row>
    <row r="641" ht="15.75" customHeight="1">
      <c r="F641" s="161"/>
    </row>
    <row r="642" ht="15.75" customHeight="1">
      <c r="F642" s="161"/>
    </row>
    <row r="643" ht="15.75" customHeight="1">
      <c r="F643" s="161"/>
    </row>
    <row r="644" ht="15.75" customHeight="1">
      <c r="F644" s="161"/>
    </row>
    <row r="645" ht="15.75" customHeight="1">
      <c r="F645" s="161"/>
    </row>
    <row r="646" ht="15.75" customHeight="1">
      <c r="F646" s="161"/>
    </row>
    <row r="647" ht="15.75" customHeight="1">
      <c r="F647" s="161"/>
    </row>
    <row r="648" ht="15.75" customHeight="1">
      <c r="F648" s="161"/>
    </row>
    <row r="649" ht="15.75" customHeight="1">
      <c r="F649" s="161"/>
    </row>
    <row r="650" ht="15.75" customHeight="1">
      <c r="F650" s="161"/>
    </row>
    <row r="651" ht="15.75" customHeight="1">
      <c r="F651" s="161"/>
    </row>
    <row r="652" ht="15.75" customHeight="1">
      <c r="F652" s="161"/>
    </row>
    <row r="653" ht="15.75" customHeight="1">
      <c r="F653" s="161"/>
    </row>
    <row r="654" ht="15.75" customHeight="1">
      <c r="F654" s="161"/>
    </row>
    <row r="655" ht="15.75" customHeight="1">
      <c r="F655" s="161"/>
    </row>
    <row r="656" ht="15.75" customHeight="1">
      <c r="F656" s="161"/>
    </row>
    <row r="657" ht="15.75" customHeight="1">
      <c r="F657" s="161"/>
    </row>
    <row r="658" ht="15.75" customHeight="1">
      <c r="F658" s="161"/>
    </row>
    <row r="659" ht="15.75" customHeight="1">
      <c r="F659" s="161"/>
    </row>
    <row r="660" ht="15.75" customHeight="1">
      <c r="F660" s="161"/>
    </row>
    <row r="661" ht="15.75" customHeight="1">
      <c r="F661" s="161"/>
    </row>
    <row r="662" ht="15.75" customHeight="1">
      <c r="F662" s="161"/>
    </row>
    <row r="663" ht="15.75" customHeight="1">
      <c r="F663" s="161"/>
    </row>
    <row r="664" ht="15.75" customHeight="1">
      <c r="F664" s="161"/>
    </row>
    <row r="665" ht="15.75" customHeight="1">
      <c r="F665" s="161"/>
    </row>
    <row r="666" ht="15.75" customHeight="1">
      <c r="F666" s="161"/>
    </row>
    <row r="667" ht="15.75" customHeight="1">
      <c r="F667" s="161"/>
    </row>
    <row r="668" ht="15.75" customHeight="1">
      <c r="F668" s="161"/>
    </row>
    <row r="669" ht="15.75" customHeight="1">
      <c r="F669" s="161"/>
    </row>
    <row r="670" ht="15.75" customHeight="1">
      <c r="F670" s="161"/>
    </row>
    <row r="671" ht="15.75" customHeight="1">
      <c r="F671" s="161"/>
    </row>
    <row r="672" ht="15.75" customHeight="1">
      <c r="F672" s="161"/>
    </row>
    <row r="673" ht="15.75" customHeight="1">
      <c r="F673" s="161"/>
    </row>
    <row r="674" ht="15.75" customHeight="1">
      <c r="F674" s="161"/>
    </row>
    <row r="675" ht="15.75" customHeight="1">
      <c r="F675" s="161"/>
    </row>
    <row r="676" ht="15.75" customHeight="1">
      <c r="F676" s="161"/>
    </row>
    <row r="677" ht="15.75" customHeight="1">
      <c r="F677" s="161"/>
    </row>
    <row r="678" ht="15.75" customHeight="1">
      <c r="F678" s="161"/>
    </row>
    <row r="679" ht="15.75" customHeight="1">
      <c r="F679" s="161"/>
    </row>
    <row r="680" ht="15.75" customHeight="1">
      <c r="F680" s="161"/>
    </row>
    <row r="681" ht="15.75" customHeight="1">
      <c r="F681" s="161"/>
    </row>
    <row r="682" ht="15.75" customHeight="1">
      <c r="F682" s="161"/>
    </row>
    <row r="683" ht="15.75" customHeight="1">
      <c r="F683" s="161"/>
    </row>
    <row r="684" ht="15.75" customHeight="1">
      <c r="F684" s="161"/>
    </row>
    <row r="685" ht="15.75" customHeight="1">
      <c r="F685" s="161"/>
    </row>
    <row r="686" ht="15.75" customHeight="1">
      <c r="F686" s="161"/>
    </row>
    <row r="687" ht="15.75" customHeight="1">
      <c r="F687" s="161"/>
    </row>
    <row r="688" ht="15.75" customHeight="1">
      <c r="F688" s="161"/>
    </row>
    <row r="689" ht="15.75" customHeight="1">
      <c r="F689" s="161"/>
    </row>
    <row r="690" ht="15.75" customHeight="1">
      <c r="F690" s="161"/>
    </row>
    <row r="691" ht="15.75" customHeight="1">
      <c r="F691" s="161"/>
    </row>
    <row r="692" ht="15.75" customHeight="1">
      <c r="F692" s="161"/>
    </row>
    <row r="693" ht="15.75" customHeight="1">
      <c r="F693" s="161"/>
    </row>
    <row r="694" ht="15.75" customHeight="1">
      <c r="F694" s="161"/>
    </row>
    <row r="695" ht="15.75" customHeight="1">
      <c r="F695" s="161"/>
    </row>
    <row r="696" ht="15.75" customHeight="1">
      <c r="F696" s="161"/>
    </row>
    <row r="697" ht="15.75" customHeight="1">
      <c r="F697" s="161"/>
    </row>
    <row r="698" ht="15.75" customHeight="1">
      <c r="F698" s="161"/>
    </row>
    <row r="699" ht="15.75" customHeight="1">
      <c r="F699" s="161"/>
    </row>
    <row r="700" ht="15.75" customHeight="1">
      <c r="F700" s="161"/>
    </row>
    <row r="701" ht="15.75" customHeight="1">
      <c r="F701" s="161"/>
    </row>
    <row r="702" ht="15.75" customHeight="1">
      <c r="F702" s="161"/>
    </row>
    <row r="703" ht="15.75" customHeight="1">
      <c r="F703" s="161"/>
    </row>
    <row r="704" ht="15.75" customHeight="1">
      <c r="F704" s="161"/>
    </row>
    <row r="705" ht="15.75" customHeight="1">
      <c r="F705" s="161"/>
    </row>
    <row r="706" ht="15.75" customHeight="1">
      <c r="F706" s="161"/>
    </row>
    <row r="707" ht="15.75" customHeight="1">
      <c r="F707" s="161"/>
    </row>
    <row r="708" ht="15.75" customHeight="1">
      <c r="F708" s="161"/>
    </row>
    <row r="709" ht="15.75" customHeight="1">
      <c r="F709" s="161"/>
    </row>
    <row r="710" ht="15.75" customHeight="1">
      <c r="F710" s="161"/>
    </row>
    <row r="711" ht="15.75" customHeight="1">
      <c r="F711" s="161"/>
    </row>
    <row r="712" ht="15.75" customHeight="1">
      <c r="F712" s="161"/>
    </row>
    <row r="713" ht="15.75" customHeight="1">
      <c r="F713" s="161"/>
    </row>
    <row r="714" ht="15.75" customHeight="1">
      <c r="F714" s="161"/>
    </row>
    <row r="715" ht="15.75" customHeight="1">
      <c r="F715" s="161"/>
    </row>
    <row r="716" ht="15.75" customHeight="1">
      <c r="F716" s="161"/>
    </row>
    <row r="717" ht="15.75" customHeight="1">
      <c r="F717" s="161"/>
    </row>
    <row r="718" ht="15.75" customHeight="1">
      <c r="F718" s="161"/>
    </row>
    <row r="719" ht="15.75" customHeight="1">
      <c r="F719" s="161"/>
    </row>
    <row r="720" ht="15.75" customHeight="1">
      <c r="F720" s="161"/>
    </row>
    <row r="721" ht="15.75" customHeight="1">
      <c r="F721" s="161"/>
    </row>
    <row r="722" ht="15.75" customHeight="1">
      <c r="F722" s="161"/>
    </row>
    <row r="723" ht="15.75" customHeight="1">
      <c r="F723" s="161"/>
    </row>
    <row r="724" ht="15.75" customHeight="1">
      <c r="F724" s="161"/>
    </row>
    <row r="725" ht="15.75" customHeight="1">
      <c r="F725" s="161"/>
    </row>
    <row r="726" ht="15.75" customHeight="1">
      <c r="F726" s="161"/>
    </row>
    <row r="727" ht="15.75" customHeight="1">
      <c r="F727" s="161"/>
    </row>
    <row r="728" ht="15.75" customHeight="1">
      <c r="F728" s="161"/>
    </row>
    <row r="729" ht="15.75" customHeight="1">
      <c r="F729" s="161"/>
    </row>
    <row r="730" ht="15.75" customHeight="1">
      <c r="F730" s="161"/>
    </row>
    <row r="731" ht="15.75" customHeight="1">
      <c r="F731" s="161"/>
    </row>
    <row r="732" ht="15.75" customHeight="1">
      <c r="F732" s="161"/>
    </row>
    <row r="733" ht="15.75" customHeight="1">
      <c r="F733" s="161"/>
    </row>
    <row r="734" ht="15.75" customHeight="1">
      <c r="F734" s="161"/>
    </row>
    <row r="735" ht="15.75" customHeight="1">
      <c r="F735" s="161"/>
    </row>
    <row r="736" ht="15.75" customHeight="1">
      <c r="F736" s="161"/>
    </row>
    <row r="737" ht="15.75" customHeight="1">
      <c r="F737" s="161"/>
    </row>
    <row r="738" ht="15.75" customHeight="1">
      <c r="F738" s="161"/>
    </row>
    <row r="739" ht="15.75" customHeight="1">
      <c r="F739" s="161"/>
    </row>
    <row r="740" ht="15.75" customHeight="1">
      <c r="F740" s="161"/>
    </row>
    <row r="741" ht="15.75" customHeight="1">
      <c r="F741" s="161"/>
    </row>
    <row r="742" ht="15.75" customHeight="1">
      <c r="F742" s="161"/>
    </row>
    <row r="743" ht="15.75" customHeight="1">
      <c r="F743" s="161"/>
    </row>
    <row r="744" ht="15.75" customHeight="1">
      <c r="F744" s="161"/>
    </row>
    <row r="745" ht="15.75" customHeight="1">
      <c r="F745" s="161"/>
    </row>
    <row r="746" ht="15.75" customHeight="1">
      <c r="F746" s="161"/>
    </row>
    <row r="747" ht="15.75" customHeight="1">
      <c r="F747" s="161"/>
    </row>
    <row r="748" ht="15.75" customHeight="1">
      <c r="F748" s="161"/>
    </row>
    <row r="749" ht="15.75" customHeight="1">
      <c r="F749" s="161"/>
    </row>
    <row r="750" ht="15.75" customHeight="1">
      <c r="F750" s="161"/>
    </row>
    <row r="751" ht="15.75" customHeight="1">
      <c r="F751" s="161"/>
    </row>
    <row r="752" ht="15.75" customHeight="1">
      <c r="F752" s="161"/>
    </row>
    <row r="753" ht="15.75" customHeight="1">
      <c r="F753" s="161"/>
    </row>
    <row r="754" ht="15.75" customHeight="1">
      <c r="F754" s="161"/>
    </row>
    <row r="755" ht="15.75" customHeight="1">
      <c r="F755" s="161"/>
    </row>
    <row r="756" ht="15.75" customHeight="1">
      <c r="F756" s="161"/>
    </row>
    <row r="757" ht="15.75" customHeight="1">
      <c r="F757" s="161"/>
    </row>
    <row r="758" ht="15.75" customHeight="1">
      <c r="F758" s="161"/>
    </row>
    <row r="759" ht="15.75" customHeight="1">
      <c r="F759" s="161"/>
    </row>
    <row r="760" ht="15.75" customHeight="1">
      <c r="F760" s="161"/>
    </row>
    <row r="761" ht="15.75" customHeight="1">
      <c r="F761" s="161"/>
    </row>
    <row r="762" ht="15.75" customHeight="1">
      <c r="F762" s="161"/>
    </row>
    <row r="763" ht="15.75" customHeight="1">
      <c r="F763" s="161"/>
    </row>
    <row r="764" ht="15.75" customHeight="1">
      <c r="F764" s="161"/>
    </row>
    <row r="765" ht="15.75" customHeight="1">
      <c r="F765" s="161"/>
    </row>
    <row r="766" ht="15.75" customHeight="1">
      <c r="F766" s="161"/>
    </row>
    <row r="767" ht="15.75" customHeight="1">
      <c r="F767" s="161"/>
    </row>
    <row r="768" ht="15.75" customHeight="1">
      <c r="F768" s="161"/>
    </row>
    <row r="769" ht="15.75" customHeight="1">
      <c r="F769" s="161"/>
    </row>
    <row r="770" ht="15.75" customHeight="1">
      <c r="F770" s="161"/>
    </row>
    <row r="771" ht="15.75" customHeight="1">
      <c r="F771" s="161"/>
    </row>
    <row r="772" ht="15.75" customHeight="1">
      <c r="F772" s="161"/>
    </row>
    <row r="773" ht="15.75" customHeight="1">
      <c r="F773" s="161"/>
    </row>
    <row r="774" ht="15.75" customHeight="1">
      <c r="F774" s="161"/>
    </row>
    <row r="775" ht="15.75" customHeight="1">
      <c r="F775" s="161"/>
    </row>
    <row r="776" ht="15.75" customHeight="1">
      <c r="F776" s="161"/>
    </row>
    <row r="777" ht="15.75" customHeight="1">
      <c r="F777" s="161"/>
    </row>
    <row r="778" ht="15.75" customHeight="1">
      <c r="F778" s="161"/>
    </row>
    <row r="779" ht="15.75" customHeight="1">
      <c r="F779" s="161"/>
    </row>
    <row r="780" ht="15.75" customHeight="1">
      <c r="F780" s="161"/>
    </row>
    <row r="781" ht="15.75" customHeight="1">
      <c r="F781" s="161"/>
    </row>
    <row r="782" ht="15.75" customHeight="1">
      <c r="F782" s="161"/>
    </row>
    <row r="783" ht="15.75" customHeight="1">
      <c r="F783" s="161"/>
    </row>
    <row r="784" ht="15.75" customHeight="1">
      <c r="F784" s="161"/>
    </row>
    <row r="785" ht="15.75" customHeight="1">
      <c r="F785" s="161"/>
    </row>
    <row r="786" ht="15.75" customHeight="1">
      <c r="F786" s="161"/>
    </row>
    <row r="787" ht="15.75" customHeight="1">
      <c r="F787" s="161"/>
    </row>
    <row r="788" ht="15.75" customHeight="1">
      <c r="F788" s="161"/>
    </row>
    <row r="789" ht="15.75" customHeight="1">
      <c r="F789" s="161"/>
    </row>
    <row r="790" ht="15.75" customHeight="1">
      <c r="F790" s="161"/>
    </row>
    <row r="791" ht="15.75" customHeight="1">
      <c r="F791" s="161"/>
    </row>
    <row r="792" ht="15.75" customHeight="1">
      <c r="F792" s="161"/>
    </row>
    <row r="793" ht="15.75" customHeight="1">
      <c r="F793" s="161"/>
    </row>
    <row r="794" ht="15.75" customHeight="1">
      <c r="F794" s="161"/>
    </row>
    <row r="795" ht="15.75" customHeight="1">
      <c r="F795" s="161"/>
    </row>
    <row r="796" ht="15.75" customHeight="1">
      <c r="F796" s="161"/>
    </row>
    <row r="797" ht="15.75" customHeight="1">
      <c r="F797" s="161"/>
    </row>
    <row r="798" ht="15.75" customHeight="1">
      <c r="F798" s="161"/>
    </row>
    <row r="799" ht="15.75" customHeight="1">
      <c r="F799" s="161"/>
    </row>
    <row r="800" ht="15.75" customHeight="1">
      <c r="F800" s="161"/>
    </row>
    <row r="801" ht="15.75" customHeight="1">
      <c r="F801" s="161"/>
    </row>
    <row r="802" ht="15.75" customHeight="1">
      <c r="F802" s="161"/>
    </row>
    <row r="803" ht="15.75" customHeight="1">
      <c r="F803" s="161"/>
    </row>
    <row r="804" ht="15.75" customHeight="1">
      <c r="F804" s="161"/>
    </row>
    <row r="805" ht="15.75" customHeight="1">
      <c r="F805" s="161"/>
    </row>
    <row r="806" ht="15.75" customHeight="1">
      <c r="F806" s="161"/>
    </row>
    <row r="807" ht="15.75" customHeight="1">
      <c r="F807" s="161"/>
    </row>
    <row r="808" ht="15.75" customHeight="1">
      <c r="F808" s="161"/>
    </row>
    <row r="809" ht="15.75" customHeight="1">
      <c r="F809" s="161"/>
    </row>
    <row r="810" ht="15.75" customHeight="1">
      <c r="F810" s="161"/>
    </row>
    <row r="811" ht="15.75" customHeight="1">
      <c r="F811" s="161"/>
    </row>
    <row r="812" ht="15.75" customHeight="1">
      <c r="F812" s="161"/>
    </row>
    <row r="813" ht="15.75" customHeight="1">
      <c r="F813" s="161"/>
    </row>
    <row r="814" ht="15.75" customHeight="1">
      <c r="F814" s="161"/>
    </row>
    <row r="815" ht="15.75" customHeight="1">
      <c r="F815" s="161"/>
    </row>
    <row r="816" ht="15.75" customHeight="1">
      <c r="F816" s="161"/>
    </row>
    <row r="817" ht="15.75" customHeight="1">
      <c r="F817" s="161"/>
    </row>
    <row r="818" ht="15.75" customHeight="1">
      <c r="F818" s="161"/>
    </row>
    <row r="819" ht="15.75" customHeight="1">
      <c r="F819" s="161"/>
    </row>
    <row r="820" ht="15.75" customHeight="1">
      <c r="F820" s="161"/>
    </row>
    <row r="821" ht="15.75" customHeight="1">
      <c r="F821" s="161"/>
    </row>
    <row r="822" ht="15.75" customHeight="1">
      <c r="F822" s="161"/>
    </row>
    <row r="823" ht="15.75" customHeight="1">
      <c r="F823" s="161"/>
    </row>
    <row r="824" ht="15.75" customHeight="1">
      <c r="F824" s="161"/>
    </row>
    <row r="825" ht="15.75" customHeight="1">
      <c r="F825" s="161"/>
    </row>
    <row r="826" ht="15.75" customHeight="1">
      <c r="F826" s="161"/>
    </row>
    <row r="827" ht="15.75" customHeight="1">
      <c r="F827" s="161"/>
    </row>
    <row r="828" ht="15.75" customHeight="1">
      <c r="F828" s="161"/>
    </row>
    <row r="829" ht="15.75" customHeight="1">
      <c r="F829" s="161"/>
    </row>
    <row r="830" ht="15.75" customHeight="1">
      <c r="F830" s="161"/>
    </row>
    <row r="831" ht="15.75" customHeight="1">
      <c r="F831" s="161"/>
    </row>
    <row r="832" ht="15.75" customHeight="1">
      <c r="F832" s="161"/>
    </row>
    <row r="833" ht="15.75" customHeight="1">
      <c r="F833" s="161"/>
    </row>
    <row r="834" ht="15.75" customHeight="1">
      <c r="F834" s="161"/>
    </row>
    <row r="835" ht="15.75" customHeight="1">
      <c r="F835" s="161"/>
    </row>
    <row r="836" ht="15.75" customHeight="1">
      <c r="F836" s="161"/>
    </row>
    <row r="837" ht="15.75" customHeight="1">
      <c r="F837" s="161"/>
    </row>
    <row r="838" ht="15.75" customHeight="1">
      <c r="F838" s="161"/>
    </row>
    <row r="839" ht="15.75" customHeight="1">
      <c r="F839" s="161"/>
    </row>
    <row r="840" ht="15.75" customHeight="1">
      <c r="F840" s="161"/>
    </row>
    <row r="841" ht="15.75" customHeight="1">
      <c r="F841" s="161"/>
    </row>
    <row r="842" ht="15.75" customHeight="1">
      <c r="F842" s="161"/>
    </row>
    <row r="843" ht="15.75" customHeight="1">
      <c r="F843" s="161"/>
    </row>
    <row r="844" ht="15.75" customHeight="1">
      <c r="F844" s="161"/>
    </row>
    <row r="845" ht="15.75" customHeight="1">
      <c r="F845" s="161"/>
    </row>
    <row r="846" ht="15.75" customHeight="1">
      <c r="F846" s="161"/>
    </row>
    <row r="847" ht="15.75" customHeight="1">
      <c r="F847" s="161"/>
    </row>
    <row r="848" ht="15.75" customHeight="1">
      <c r="F848" s="161"/>
    </row>
    <row r="849" ht="15.75" customHeight="1">
      <c r="F849" s="161"/>
    </row>
    <row r="850" ht="15.75" customHeight="1">
      <c r="F850" s="161"/>
    </row>
    <row r="851" ht="15.75" customHeight="1">
      <c r="F851" s="161"/>
    </row>
    <row r="852" ht="15.75" customHeight="1">
      <c r="F852" s="161"/>
    </row>
    <row r="853" ht="15.75" customHeight="1">
      <c r="F853" s="161"/>
    </row>
    <row r="854" ht="15.75" customHeight="1">
      <c r="F854" s="161"/>
    </row>
    <row r="855" ht="15.75" customHeight="1">
      <c r="F855" s="161"/>
    </row>
    <row r="856" ht="15.75" customHeight="1">
      <c r="F856" s="161"/>
    </row>
    <row r="857" ht="15.75" customHeight="1">
      <c r="F857" s="161"/>
    </row>
    <row r="858" ht="15.75" customHeight="1">
      <c r="F858" s="161"/>
    </row>
    <row r="859" ht="15.75" customHeight="1">
      <c r="F859" s="161"/>
    </row>
    <row r="860" ht="15.75" customHeight="1">
      <c r="F860" s="161"/>
    </row>
    <row r="861" ht="15.75" customHeight="1">
      <c r="F861" s="161"/>
    </row>
    <row r="862" ht="15.75" customHeight="1">
      <c r="F862" s="161"/>
    </row>
    <row r="863" ht="15.75" customHeight="1">
      <c r="F863" s="161"/>
    </row>
    <row r="864" ht="15.75" customHeight="1">
      <c r="F864" s="161"/>
    </row>
    <row r="865" ht="15.75" customHeight="1">
      <c r="F865" s="161"/>
    </row>
    <row r="866" ht="15.75" customHeight="1">
      <c r="F866" s="161"/>
    </row>
    <row r="867" ht="15.75" customHeight="1">
      <c r="F867" s="161"/>
    </row>
    <row r="868" ht="15.75" customHeight="1">
      <c r="F868" s="161"/>
    </row>
    <row r="869" ht="15.75" customHeight="1">
      <c r="F869" s="161"/>
    </row>
    <row r="870" ht="15.75" customHeight="1">
      <c r="F870" s="161"/>
    </row>
    <row r="871" ht="15.75" customHeight="1">
      <c r="F871" s="161"/>
    </row>
    <row r="872" ht="15.75" customHeight="1">
      <c r="F872" s="161"/>
    </row>
    <row r="873" ht="15.75" customHeight="1">
      <c r="F873" s="161"/>
    </row>
    <row r="874" ht="15.75" customHeight="1">
      <c r="F874" s="161"/>
    </row>
    <row r="875" ht="15.75" customHeight="1">
      <c r="F875" s="161"/>
    </row>
    <row r="876" ht="15.75" customHeight="1">
      <c r="F876" s="161"/>
    </row>
    <row r="877" ht="15.75" customHeight="1">
      <c r="F877" s="161"/>
    </row>
    <row r="878" ht="15.75" customHeight="1">
      <c r="F878" s="161"/>
    </row>
    <row r="879" ht="15.75" customHeight="1">
      <c r="F879" s="161"/>
    </row>
    <row r="880" ht="15.75" customHeight="1">
      <c r="F880" s="161"/>
    </row>
    <row r="881" ht="15.75" customHeight="1">
      <c r="F881" s="161"/>
    </row>
    <row r="882" ht="15.75" customHeight="1">
      <c r="F882" s="161"/>
    </row>
    <row r="883" ht="15.75" customHeight="1">
      <c r="F883" s="161"/>
    </row>
    <row r="884" ht="15.75" customHeight="1">
      <c r="F884" s="161"/>
    </row>
    <row r="885" ht="15.75" customHeight="1">
      <c r="F885" s="161"/>
    </row>
    <row r="886" ht="15.75" customHeight="1">
      <c r="F886" s="161"/>
    </row>
    <row r="887" ht="15.75" customHeight="1">
      <c r="F887" s="161"/>
    </row>
    <row r="888" ht="15.75" customHeight="1">
      <c r="F888" s="161"/>
    </row>
    <row r="889" ht="15.75" customHeight="1">
      <c r="F889" s="161"/>
    </row>
    <row r="890" ht="15.75" customHeight="1">
      <c r="F890" s="161"/>
    </row>
    <row r="891" ht="15.75" customHeight="1">
      <c r="F891" s="161"/>
    </row>
    <row r="892" ht="15.75" customHeight="1">
      <c r="F892" s="161"/>
    </row>
    <row r="893" ht="15.75" customHeight="1">
      <c r="F893" s="161"/>
    </row>
    <row r="894" ht="15.75" customHeight="1">
      <c r="F894" s="161"/>
    </row>
    <row r="895" ht="15.75" customHeight="1">
      <c r="F895" s="161"/>
    </row>
    <row r="896" ht="15.75" customHeight="1">
      <c r="F896" s="161"/>
    </row>
    <row r="897" ht="15.75" customHeight="1">
      <c r="F897" s="161"/>
    </row>
    <row r="898" ht="15.75" customHeight="1">
      <c r="F898" s="161"/>
    </row>
    <row r="899" ht="15.75" customHeight="1">
      <c r="F899" s="161"/>
    </row>
    <row r="900" ht="15.75" customHeight="1">
      <c r="F900" s="161"/>
    </row>
    <row r="901" ht="15.75" customHeight="1">
      <c r="F901" s="161"/>
    </row>
    <row r="902" ht="15.75" customHeight="1">
      <c r="F902" s="161"/>
    </row>
    <row r="903" ht="15.75" customHeight="1">
      <c r="F903" s="161"/>
    </row>
    <row r="904" ht="15.75" customHeight="1">
      <c r="F904" s="161"/>
    </row>
    <row r="905" ht="15.75" customHeight="1">
      <c r="F905" s="161"/>
    </row>
    <row r="906" ht="15.75" customHeight="1">
      <c r="F906" s="161"/>
    </row>
    <row r="907" ht="15.75" customHeight="1">
      <c r="F907" s="161"/>
    </row>
    <row r="908" ht="15.75" customHeight="1">
      <c r="F908" s="161"/>
    </row>
    <row r="909" ht="15.75" customHeight="1">
      <c r="F909" s="161"/>
    </row>
    <row r="910" ht="15.75" customHeight="1">
      <c r="F910" s="161"/>
    </row>
    <row r="911" ht="15.75" customHeight="1">
      <c r="F911" s="161"/>
    </row>
    <row r="912" ht="15.75" customHeight="1">
      <c r="F912" s="161"/>
    </row>
    <row r="913" ht="15.75" customHeight="1">
      <c r="F913" s="161"/>
    </row>
    <row r="914" ht="15.75" customHeight="1">
      <c r="F914" s="161"/>
    </row>
    <row r="915" ht="15.75" customHeight="1">
      <c r="F915" s="161"/>
    </row>
    <row r="916" ht="15.75" customHeight="1">
      <c r="F916" s="161"/>
    </row>
    <row r="917" ht="15.75" customHeight="1">
      <c r="F917" s="161"/>
    </row>
    <row r="918" ht="15.75" customHeight="1">
      <c r="F918" s="161"/>
    </row>
    <row r="919" ht="15.75" customHeight="1">
      <c r="F919" s="161"/>
    </row>
    <row r="920" ht="15.75" customHeight="1">
      <c r="F920" s="161"/>
    </row>
    <row r="921" ht="15.75" customHeight="1">
      <c r="F921" s="161"/>
    </row>
    <row r="922" ht="15.75" customHeight="1">
      <c r="F922" s="161"/>
    </row>
    <row r="923" ht="15.75" customHeight="1">
      <c r="F923" s="161"/>
    </row>
    <row r="924" ht="15.75" customHeight="1">
      <c r="F924" s="161"/>
    </row>
    <row r="925" ht="15.75" customHeight="1">
      <c r="F925" s="161"/>
    </row>
    <row r="926" ht="15.75" customHeight="1">
      <c r="F926" s="161"/>
    </row>
    <row r="927" ht="15.75" customHeight="1">
      <c r="F927" s="161"/>
    </row>
    <row r="928" ht="15.75" customHeight="1">
      <c r="F928" s="161"/>
    </row>
    <row r="929" ht="15.75" customHeight="1">
      <c r="F929" s="161"/>
    </row>
    <row r="930" ht="15.75" customHeight="1">
      <c r="F930" s="161"/>
    </row>
    <row r="931" ht="15.75" customHeight="1">
      <c r="F931" s="161"/>
    </row>
    <row r="932" ht="15.75" customHeight="1">
      <c r="F932" s="161"/>
    </row>
    <row r="933" ht="15.75" customHeight="1">
      <c r="F933" s="161"/>
    </row>
    <row r="934" ht="15.75" customHeight="1">
      <c r="F934" s="161"/>
    </row>
    <row r="935" ht="15.75" customHeight="1">
      <c r="F935" s="161"/>
    </row>
    <row r="936" ht="15.75" customHeight="1">
      <c r="F936" s="161"/>
    </row>
    <row r="937" ht="15.75" customHeight="1">
      <c r="F937" s="161"/>
    </row>
    <row r="938" ht="15.75" customHeight="1">
      <c r="F938" s="161"/>
    </row>
    <row r="939" ht="15.75" customHeight="1">
      <c r="F939" s="161"/>
    </row>
    <row r="940" ht="15.75" customHeight="1">
      <c r="F940" s="161"/>
    </row>
    <row r="941" ht="15.75" customHeight="1">
      <c r="F941" s="161"/>
    </row>
    <row r="942" ht="15.75" customHeight="1">
      <c r="F942" s="161"/>
    </row>
    <row r="943" ht="15.75" customHeight="1">
      <c r="F943" s="161"/>
    </row>
    <row r="944" ht="15.75" customHeight="1">
      <c r="F944" s="161"/>
    </row>
    <row r="945" ht="15.75" customHeight="1">
      <c r="F945" s="161"/>
    </row>
    <row r="946" ht="15.75" customHeight="1">
      <c r="F946" s="161"/>
    </row>
    <row r="947" ht="15.75" customHeight="1">
      <c r="F947" s="161"/>
    </row>
    <row r="948" ht="15.75" customHeight="1">
      <c r="F948" s="161"/>
    </row>
    <row r="949" ht="15.75" customHeight="1">
      <c r="F949" s="161"/>
    </row>
    <row r="950" ht="15.75" customHeight="1">
      <c r="F950" s="161"/>
    </row>
    <row r="951" ht="15.75" customHeight="1">
      <c r="F951" s="161"/>
    </row>
    <row r="952" ht="15.75" customHeight="1">
      <c r="F952" s="161"/>
    </row>
    <row r="953" ht="15.75" customHeight="1">
      <c r="F953" s="161"/>
    </row>
    <row r="954" ht="15.75" customHeight="1">
      <c r="F954" s="161"/>
    </row>
    <row r="955" ht="15.75" customHeight="1">
      <c r="F955" s="161"/>
    </row>
    <row r="956" ht="15.75" customHeight="1">
      <c r="F956" s="161"/>
    </row>
    <row r="957" ht="15.75" customHeight="1">
      <c r="F957" s="161"/>
    </row>
    <row r="958" ht="15.75" customHeight="1">
      <c r="F958" s="161"/>
    </row>
    <row r="959" ht="15.75" customHeight="1">
      <c r="F959" s="161"/>
    </row>
    <row r="960" ht="15.75" customHeight="1">
      <c r="F960" s="161"/>
    </row>
    <row r="961" ht="15.75" customHeight="1">
      <c r="F961" s="161"/>
    </row>
    <row r="962" ht="15.75" customHeight="1">
      <c r="F962" s="161"/>
    </row>
    <row r="963" ht="15.75" customHeight="1">
      <c r="F963" s="161"/>
    </row>
    <row r="964" ht="15.75" customHeight="1">
      <c r="F964" s="161"/>
    </row>
    <row r="965" ht="15.75" customHeight="1">
      <c r="F965" s="161"/>
    </row>
    <row r="966" ht="15.75" customHeight="1">
      <c r="F966" s="161"/>
    </row>
    <row r="967" ht="15.75" customHeight="1">
      <c r="F967" s="161"/>
    </row>
    <row r="968" ht="15.75" customHeight="1">
      <c r="F968" s="161"/>
    </row>
    <row r="969" ht="15.75" customHeight="1">
      <c r="F969" s="161"/>
    </row>
    <row r="970" ht="15.75" customHeight="1">
      <c r="F970" s="161"/>
    </row>
    <row r="971" ht="15.75" customHeight="1">
      <c r="F971" s="161"/>
    </row>
    <row r="972" ht="15.75" customHeight="1">
      <c r="F972" s="161"/>
    </row>
    <row r="973" ht="15.75" customHeight="1">
      <c r="F973" s="161"/>
    </row>
    <row r="974" ht="15.75" customHeight="1">
      <c r="F974" s="161"/>
    </row>
    <row r="975" ht="15.75" customHeight="1">
      <c r="F975" s="161"/>
    </row>
    <row r="976" ht="15.75" customHeight="1">
      <c r="F976" s="161"/>
    </row>
    <row r="977" ht="15.75" customHeight="1">
      <c r="F977" s="161"/>
    </row>
    <row r="978" ht="15.75" customHeight="1">
      <c r="F978" s="161"/>
    </row>
    <row r="979" ht="15.75" customHeight="1">
      <c r="F979" s="161"/>
    </row>
    <row r="980" ht="15.75" customHeight="1">
      <c r="F980" s="161"/>
    </row>
    <row r="981" ht="15.75" customHeight="1">
      <c r="F981" s="161"/>
    </row>
    <row r="982" ht="15.75" customHeight="1">
      <c r="F982" s="161"/>
    </row>
    <row r="983" ht="15.75" customHeight="1">
      <c r="F983" s="161"/>
    </row>
    <row r="984" ht="15.75" customHeight="1">
      <c r="F984" s="161"/>
    </row>
    <row r="985" ht="15.75" customHeight="1">
      <c r="F985" s="161"/>
    </row>
    <row r="986" ht="15.75" customHeight="1">
      <c r="F986" s="161"/>
    </row>
    <row r="987" ht="15.75" customHeight="1">
      <c r="F987" s="161"/>
    </row>
    <row r="988" ht="15.75" customHeight="1">
      <c r="F988" s="161"/>
    </row>
    <row r="989" ht="15.75" customHeight="1">
      <c r="F989" s="161"/>
    </row>
    <row r="990" ht="15.75" customHeight="1">
      <c r="F990" s="161"/>
    </row>
    <row r="991" ht="15.75" customHeight="1">
      <c r="F991" s="161"/>
    </row>
    <row r="992" ht="15.75" customHeight="1">
      <c r="F992" s="161"/>
    </row>
    <row r="993" ht="15.75" customHeight="1">
      <c r="F993" s="161"/>
    </row>
    <row r="994" ht="15.75" customHeight="1">
      <c r="F994" s="161"/>
    </row>
    <row r="995" ht="15.75" customHeight="1">
      <c r="F995" s="161"/>
    </row>
    <row r="996" ht="15.75" customHeight="1">
      <c r="F996" s="161"/>
    </row>
    <row r="997" ht="15.75" customHeight="1">
      <c r="F997" s="161"/>
    </row>
    <row r="998" ht="15.75" customHeight="1">
      <c r="F998" s="161"/>
    </row>
    <row r="999" ht="15.75" customHeight="1">
      <c r="F999" s="161"/>
    </row>
    <row r="1000" ht="15.75" customHeight="1">
      <c r="F1000" s="161"/>
    </row>
    <row r="1001" ht="15.75" customHeight="1">
      <c r="F1001" s="161"/>
    </row>
    <row r="1002" ht="15.75" customHeight="1">
      <c r="F1002" s="161"/>
    </row>
    <row r="1003" ht="15.75" customHeight="1">
      <c r="F1003" s="161"/>
    </row>
  </sheetData>
  <autoFilter ref="$A$3:$H$18">
    <sortState ref="A3:H18">
      <sortCondition descending="1" ref="H3:H18"/>
    </sortState>
  </autoFilter>
  <mergeCells count="5">
    <mergeCell ref="A1:A2"/>
    <mergeCell ref="B1:I2"/>
    <mergeCell ref="I4:I18"/>
    <mergeCell ref="A21:I21"/>
    <mergeCell ref="A22:I22"/>
  </mergeCells>
  <conditionalFormatting sqref="H4:H18">
    <cfRule type="colorScale" priority="1">
      <colorScale>
        <cfvo type="min"/>
        <cfvo type="max"/>
        <color rgb="FFFFFFFF"/>
        <color rgb="FFE67C73"/>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2024-11-20T14:56:41Z</dcterms:created>
</cp:coreProperties>
</file>